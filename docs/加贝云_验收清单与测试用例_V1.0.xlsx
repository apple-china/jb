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fdbd3980db49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总览" sheetId="1" r:id="R73dc59bd33d14046"/>
    <x:sheet xmlns:r="http://schemas.openxmlformats.org/officeDocument/2006/relationships" name="范围与决策" sheetId="2" r:id="R98a666f81c9b4c80"/>
    <x:sheet xmlns:r="http://schemas.openxmlformats.org/officeDocument/2006/relationships" name="验收清单" sheetId="3" r:id="R972c6833613847b7"/>
    <x:sheet xmlns:r="http://schemas.openxmlformats.org/officeDocument/2006/relationships" name="功能测试用例" sheetId="4" r:id="Reae9697146794935"/>
    <x:sheet xmlns:r="http://schemas.openxmlformats.org/officeDocument/2006/relationships" name="接口可靠性" sheetId="5" r:id="R388f2ed97e0e4b30"/>
    <x:sheet xmlns:r="http://schemas.openxmlformats.org/officeDocument/2006/relationships" name="安全测试" sheetId="6" r:id="R82eca6f737e54c4c"/>
    <x:sheet xmlns:r="http://schemas.openxmlformats.org/officeDocument/2006/relationships" name="兼容上线" sheetId="7" r:id="R9426f58e664f4d09"/>
    <x:sheet xmlns:r="http://schemas.openxmlformats.org/officeDocument/2006/relationships" name="测试数据" sheetId="8" r:id="R84584fa5a70742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sz val="10"/>
      <x:color rgb="FF64748B"/>
      <x:name val="Carlito"/>
    </x:font>
    <x:font>
      <x:b/>
      <x:sz val="10"/>
      <x:color rgb="FFFFFFFF"/>
      <x:name val="Carlito"/>
    </x:font>
    <x:font>
      <x:sz val="9"/>
      <x:color rgb="FF172033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5"/>
      <x:color rgb="FF172554"/>
      <x:name val="Carlito"/>
    </x:font>
    <x:font>
      <x:b/>
      <x:sz val="12"/>
      <x:color rgb="FFFFFFFF"/>
      <x:name val="Carlito"/>
    </x:font>
    <x:font>
      <x:b/>
      <x:sz val="11"/>
      <x:color rgb="FF17255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EFF6FF"/>
      </x:patternFill>
    </x:fill>
    <x:fill>
      <x:patternFill patternType="solid">
        <x:fgColor rgb="FF3154D1"/>
      </x:patternFill>
    </x:fill>
    <x:fill>
      <x:patternFill patternType="solid">
        <x:fgColor rgb="FFFFFFFF"/>
      </x:patternFill>
    </x:fill>
    <x:fill>
      <x:patternFill patternType="solid">
        <x:fgColor rgb="FFDDF2FB"/>
      </x:patternFill>
    </x:fill>
  </x:fills>
  <x:borders count="3">
    <x:border/>
    <x:border>
      <x:left style="thin">
        <x:color rgb="FFC7D2FE"/>
      </x:left>
      <x:right style="thin">
        <x:color rgb="FFC7D2FE"/>
      </x:right>
      <x:top style="thin">
        <x:color rgb="FFC7D2FE"/>
      </x:top>
      <x:bottom style="thin">
        <x:color rgb="FFC7D2FE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 applyAlignment="1">
      <x:alignment vertical="center" wrapText="1"/>
    </x:xf>
    <x:xf numFmtId="0" fontId="6" fillId="4" borderId="2" xfId="0" applyNumberFormat="1" applyFont="1" applyFill="1" applyBorder="1" applyAlignment="1">
      <x:alignment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9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5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858ea958fb48e9" /><Relationship Type="http://schemas.openxmlformats.org/officeDocument/2006/relationships/theme" Target="/xl/theme/theme1.xml" Id="R2f75e0ceaf3f49b8" /><Relationship Type="http://schemas.openxmlformats.org/officeDocument/2006/relationships/sharedStrings" Target="/xl/sharedStrings.xml" Id="R4a6a13268c964633" /><Relationship Type="http://schemas.openxmlformats.org/officeDocument/2006/relationships/worksheet" Target="/xl/worksheets/sheet1.xml" Id="R73dc59bd33d14046" /><Relationship Type="http://schemas.openxmlformats.org/officeDocument/2006/relationships/worksheet" Target="/xl/worksheets/sheet2.xml" Id="R98a666f81c9b4c80" /><Relationship Type="http://schemas.openxmlformats.org/officeDocument/2006/relationships/worksheet" Target="/xl/worksheets/sheet3.xml" Id="R972c6833613847b7" /><Relationship Type="http://schemas.openxmlformats.org/officeDocument/2006/relationships/worksheet" Target="/xl/worksheets/sheet4.xml" Id="Reae9697146794935" /><Relationship Type="http://schemas.openxmlformats.org/officeDocument/2006/relationships/worksheet" Target="/xl/worksheets/sheet5.xml" Id="R388f2ed97e0e4b30" /><Relationship Type="http://schemas.openxmlformats.org/officeDocument/2006/relationships/worksheet" Target="/xl/worksheets/sheet6.xml" Id="R82eca6f737e54c4c" /><Relationship Type="http://schemas.openxmlformats.org/officeDocument/2006/relationships/worksheet" Target="/xl/worksheets/sheet7.xml" Id="R9426f58e664f4d09" /><Relationship Type="http://schemas.openxmlformats.org/officeDocument/2006/relationships/worksheet" Target="/xl/worksheets/sheet8.xml" Id="R84584fa5a70742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21" t="str">
        <x:v>加贝云·化妆预约｜V1.0 验收与测试总览</x:v>
      </x:c>
      <x:c r="B1" s="21"/>
      <x:c r="C1" s="21"/>
      <x:c r="D1" s="21"/>
      <x:c r="E1" s="21"/>
      <x:c r="F1" s="21"/>
      <x:c r="G1" s="21"/>
      <x:c r="H1" s="21"/>
    </x:row>
    <x:row r="2" ht="30" customHeight="1">
      <x:c r="A2" s="22" t="str">
        <x:v>产品基线：项目说明书 V1.0｜技术基线：技术设计说明书 V1.0｜接口契约 V1.0｜时区：Asia/Shanghai</x:v>
      </x:c>
      <x:c r="B2" s="22"/>
      <x:c r="C2" s="22"/>
      <x:c r="D2" s="22"/>
      <x:c r="E2" s="22"/>
      <x:c r="F2" s="22"/>
      <x:c r="G2" s="22"/>
      <x:c r="H2" s="22"/>
    </x:row>
    <x:row r="4" ht="28" customHeight="1">
      <x:c r="A4" s="25" t="str">
        <x:v>验收项</x:v>
      </x:c>
      <x:c r="B4" s="25" t="str">
        <x:v>验收通过</x:v>
      </x:c>
      <x:c r="C4" s="25" t="str">
        <x:v>验收失败</x:v>
      </x:c>
      <x:c r="D4" s="25" t="str">
        <x:v>验收阻塞</x:v>
      </x:c>
      <x:c r="E4" s="25" t="str">
        <x:v>测试用例</x:v>
      </x:c>
      <x:c r="F4" s="25" t="str">
        <x:v>测试通过</x:v>
      </x:c>
      <x:c r="G4" s="25" t="str">
        <x:v>测试失败</x:v>
      </x:c>
      <x:c r="H4" s="25" t="str">
        <x:v>测试阻塞</x:v>
      </x:c>
    </x:row>
    <x:row r="5" ht="34" customHeight="1">
      <x:c r="A5" s="29" t="n">
        <x:f>COUNTA('验收清单'!A5:A200)</x:f>
        <x:v>24</x:v>
      </x:c>
      <x:c r="B5" s="29" t="n">
        <x:f>COUNTIF('验收清单'!H5:H200,"通过")</x:f>
        <x:v>0</x:v>
      </x:c>
      <x:c r="C5" s="29" t="n">
        <x:f>COUNTIF('验收清单'!H5:H200,"失败")</x:f>
        <x:v>0</x:v>
      </x:c>
      <x:c r="D5" s="29" t="n">
        <x:f>COUNTIF('验收清单'!H5:H200,"阻塞")</x:f>
        <x:v>0</x:v>
      </x:c>
      <x:c r="E5" s="29" t="n">
        <x:f>COUNTA('功能测试用例'!A5:A300)+COUNTA('接口可靠性'!A5:A300)+COUNTA('安全测试'!A5:A200)+COUNTA('兼容上线'!A5:A200)</x:f>
        <x:v>90</x:v>
      </x:c>
      <x:c r="F5" s="29" t="n">
        <x:f>COUNTIF('功能测试用例'!J5:J300,"通过")+COUNTIF('接口可靠性'!I5:I300,"通过")+COUNTIF('安全测试'!J5:J200,"通过")+COUNTIF('兼容上线'!G5:G200,"通过")</x:f>
        <x:v>0</x:v>
      </x:c>
      <x:c r="G5" s="29" t="n">
        <x:f>COUNTIF('功能测试用例'!J5:J300,"失败")+COUNTIF('接口可靠性'!I5:I300,"失败")+COUNTIF('安全测试'!J5:J200,"失败")+COUNTIF('兼容上线'!G5:G200,"失败")</x:f>
        <x:v>0</x:v>
      </x:c>
      <x:c r="H5" s="29" t="n">
        <x:f>COUNTIF('功能测试用例'!J5:J300,"阻塞")+COUNTIF('接口可靠性'!I5:I300,"阻塞")+COUNTIF('安全测试'!J5:J200,"阻塞")+COUNTIF('兼容上线'!G5:G200,"阻塞")</x:f>
        <x:v>0</x:v>
      </x:c>
    </x:row>
    <x:row r="7" ht="26" customHeight="1">
      <x:c r="A7" s="30" t="str">
        <x:v>本次同步重点</x:v>
      </x:c>
      <x:c r="B7" s="30"/>
      <x:c r="C7" s="30"/>
      <x:c r="D7" s="30"/>
      <x:c r="E7" s="30"/>
      <x:c r="F7" s="30"/>
      <x:c r="G7" s="30"/>
      <x:c r="H7" s="30"/>
    </x:row>
    <x:row r="8" ht="38" customHeight="1">
      <x:c r="A8" s="36" t="str">
        <x:v>01</x:v>
      </x:c>
      <x:c r="B8" s="37" t="str">
        <x:v>状态统一</x:v>
      </x:c>
      <x:c r="C8" s="33" t="str">
        <x:v>预约状态全量统一为 ACTIVE、CANCELLED、VOIDED。</x:v>
      </x:c>
      <x:c r="D8" s="33" t="str"/>
      <x:c r="E8" s="33" t="str"/>
      <x:c r="F8" s="33" t="str"/>
      <x:c r="G8" s="33" t="str"/>
      <x:c r="H8" s="33" t="str"/>
    </x:row>
    <x:row r="9" ht="38" customHeight="1">
      <x:c r="A9" s="36" t="str">
        <x:v>02</x:v>
      </x:c>
      <x:c r="B9" s="37" t="str">
        <x:v>管理员并发</x:v>
      </x:c>
      <x:c r="C9" s="33" t="str">
        <x:v>名单变更用事务级咨询锁串行化，确保至少一名启用管理员。</x:v>
      </x:c>
      <x:c r="D9" s="33" t="str"/>
      <x:c r="E9" s="33" t="str"/>
      <x:c r="F9" s="33" t="str"/>
      <x:c r="G9" s="33" t="str"/>
      <x:c r="H9" s="33" t="str"/>
    </x:row>
    <x:row r="10" ht="38" customHeight="1">
      <x:c r="A10" s="36" t="str">
        <x:v>03</x:v>
      </x:c>
      <x:c r="B10" s="37" t="str">
        <x:v>资源确认</x:v>
      </x:c>
      <x:c r="C10" s="33" t="str">
        <x:v>老师/团队存在未来预约时，未确认不变更；确认后重新计数。</x:v>
      </x:c>
      <x:c r="D10" s="33" t="str"/>
      <x:c r="E10" s="33" t="str"/>
      <x:c r="F10" s="33" t="str"/>
      <x:c r="G10" s="33" t="str"/>
      <x:c r="H10" s="33" t="str"/>
    </x:row>
    <x:row r="11" ht="38" customHeight="1">
      <x:c r="A11" s="36" t="str">
        <x:v>04</x:v>
      </x:c>
      <x:c r="B11" s="37" t="str">
        <x:v>门禁匹配</x:v>
      </x:c>
      <x:c r="C11" s="33" t="str">
        <x:v>固定多候选排序并限制有效窗口；门禁事件不可复用。</x:v>
      </x:c>
      <x:c r="D11" s="33" t="str"/>
      <x:c r="E11" s="33" t="str"/>
      <x:c r="F11" s="33" t="str"/>
      <x:c r="G11" s="33" t="str"/>
      <x:c r="H11" s="33" t="str"/>
    </x:row>
    <x:row r="12" ht="38" customHeight="1">
      <x:c r="A12" s="36" t="str">
        <x:v>05</x:v>
      </x:c>
      <x:c r="B12" s="37" t="str">
        <x:v>安全验收</x:v>
      </x:c>
      <x:c r="C12" s="33" t="str">
        <x:v>新增独立安全测试页、生产禁用Mock检查和完整回调场景。</x:v>
      </x:c>
      <x:c r="D12" s="33" t="str"/>
      <x:c r="E12" s="33" t="str"/>
      <x:c r="F12" s="33" t="str"/>
      <x:c r="G12" s="33" t="str"/>
      <x:c r="H12" s="33" t="str"/>
    </x:row>
  </x:sheetData>
  <x:mergeCells>
    <x:mergeCell ref="A1:H1"/>
    <x:mergeCell ref="A2:H2"/>
    <x:mergeCell ref="A7:H7"/>
    <x:mergeCell ref="C8:H8"/>
    <x:mergeCell ref="C9:H9"/>
    <x:mergeCell ref="C10:H10"/>
    <x:mergeCell ref="C11:H11"/>
    <x:mergeCell ref="C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0" hidden="0" customWidth="1"/>
    <x:col min="3" max="3" width="16" hidden="0" customWidth="1"/>
    <x:col min="4" max="4" width="58" hidden="0" customWidth="1"/>
    <x:col min="5" max="5" width="14" hidden="0" customWidth="1"/>
    <x:col min="6" max="6" width="30" hidden="0" customWidth="1"/>
  </x:cols>
  <x:sheetData>
    <x:row r="1" ht="30" customHeight="1">
      <x:c r="A1" s="3" t="str">
        <x:v>加贝云 V1.0｜范围与决策基线</x:v>
      </x:c>
      <x:c r="B1" s="3"/>
      <x:c r="C1" s="3"/>
      <x:c r="D1" s="3"/>
      <x:c r="E1" s="3"/>
      <x:c r="F1" s="3"/>
    </x:row>
    <x:row r="2" ht="34" customHeight="1">
      <x:c r="A2" s="7" t="str">
        <x:v>产品说明书 V1.0 的首版边界；“排除”项不得作为隐性开发任务。</x:v>
      </x:c>
      <x:c r="B2" s="7"/>
      <x:c r="C2" s="7"/>
      <x:c r="D2" s="7"/>
      <x:c r="E2" s="7"/>
      <x:c r="F2" s="7"/>
    </x:row>
    <x:row r="4" ht="30" customHeight="1">
      <x:c r="A4" s="13" t="str">
        <x:v>ID</x:v>
      </x:c>
      <x:c r="B4" s="13" t="str">
        <x:v>版本</x:v>
      </x:c>
      <x:c r="C4" s="13" t="str">
        <x:v>主题</x:v>
      </x:c>
      <x:c r="D4" s="13" t="str">
        <x:v>决定/规则</x:v>
      </x:c>
      <x:c r="E4" s="13" t="str">
        <x:v>状态</x:v>
      </x:c>
      <x:c r="F4" s="13" t="str">
        <x:v>说明</x:v>
      </x:c>
    </x:row>
    <x:row r="5" ht="44" customHeight="1">
      <x:c r="A5" s="18" t="str">
        <x:v>S-001</x:v>
      </x:c>
      <x:c r="B5" s="18" t="str">
        <x:v>V1.0</x:v>
      </x:c>
      <x:c r="C5" s="18" t="str">
        <x:v>核心范围</x:v>
      </x:c>
      <x:c r="D5" s="18" t="str">
        <x:v>主播查看、创建、取消本人预约；管理员列表、详情、代预约、修改、取消、作废；老师、团队、管理员名单；每日互动卡片。</x:v>
      </x:c>
      <x:c r="E5" s="18" t="str">
        <x:v>纳入</x:v>
      </x:c>
      <x:c r="F5" s="18" t="str">
        <x:v>V1.0</x:v>
      </x:c>
    </x:row>
    <x:row r="6" ht="44" customHeight="1">
      <x:c r="A6" s="17" t="str">
        <x:v>S-002</x:v>
      </x:c>
      <x:c r="B6" s="17" t="str">
        <x:v>V1.0</x:v>
      </x:c>
      <x:c r="C6" s="17" t="str">
        <x:v>首版删减</x:v>
      </x:c>
      <x:c r="D6" s="17" t="str">
        <x:v>不做主播修改/调换、管理员调换、调换审批、子管理员、强制冲突覆盖、Excel、批量和复杂报表。</x:v>
      </x:c>
      <x:c r="E6" s="17" t="str">
        <x:v>排除</x:v>
      </x:c>
      <x:c r="F6" s="17" t="str">
        <x:v>避免首版状态机膨胀</x:v>
      </x:c>
    </x:row>
    <x:row r="7" ht="44" customHeight="1">
      <x:c r="A7" s="19" t="str">
        <x:v>S-003</x:v>
      </x:c>
      <x:c r="B7" s="19" t="str">
        <x:v>V1.0</x:v>
      </x:c>
      <x:c r="C7" s="19" t="str">
        <x:v>管理员</x:v>
      </x:c>
      <x:c r="D7" s="19" t="str">
        <x:v>一个同级管理员角色，可配置多人；任何管理员可维护名单；提交后至少保留一名启用管理员。</x:v>
      </x:c>
      <x:c r="E7" s="19" t="str">
        <x:v>已明确</x:v>
      </x:c>
      <x:c r="F7" s="19" t="str">
        <x:v>无主管理员/子管理员层级</x:v>
      </x:c>
    </x:row>
    <x:row r="8" ht="44" customHeight="1">
      <x:c r="A8" s="17" t="str">
        <x:v>S-004</x:v>
      </x:c>
      <x:c r="B8" s="17" t="str">
        <x:v>V1.0</x:v>
      </x:c>
      <x:c r="C8" s="17" t="str">
        <x:v>取消次数</x:v>
      </x:c>
      <x:c r="D8" s="17" t="str">
        <x:v>同一主播按点击取消按钮的 Asia/Shanghai 自然日，每天最多成功取消一次。</x:v>
      </x:c>
      <x:c r="E8" s="17" t="str">
        <x:v>已明确</x:v>
      </x:c>
      <x:c r="F8" s="17" t="str">
        <x:v>取消今天或明天均消耗点击日额度</x:v>
      </x:c>
    </x:row>
    <x:row r="9" ht="44" customHeight="1">
      <x:c r="A9" s="18" t="str">
        <x:v>S-005</x:v>
      </x:c>
      <x:c r="B9" s="18" t="str">
        <x:v>V1.0</x:v>
      </x:c>
      <x:c r="C9" s="18" t="str">
        <x:v>预约资格</x:v>
      </x:c>
      <x:c r="D9" s="18" t="str">
        <x:v>同一主播同一预约日期最多一条非作废记录；已取消仍占资格，管理员作废后才释放。</x:v>
      </x:c>
      <x:c r="E9" s="18" t="str">
        <x:v>已明确</x:v>
      </x:c>
      <x:c r="F9" s="18" t="str">
        <x:v>数据库唯一约束</x:v>
      </x:c>
    </x:row>
    <x:row r="10" ht="44" customHeight="1">
      <x:c r="A10" s="17" t="str">
        <x:v>S-006</x:v>
      </x:c>
      <x:c r="B10" s="17" t="str">
        <x:v>V1.0</x:v>
      </x:c>
      <x:c r="C10" s="17" t="str">
        <x:v>默认值</x:v>
      </x:c>
      <x:c r="D10" s="17" t="str">
        <x:v>最近一次成功预约的老师、时间、团队在当前仍合法时自动选中，否则清空并提示。</x:v>
      </x:c>
      <x:c r="E10" s="17" t="str">
        <x:v>已明确</x:v>
      </x:c>
      <x:c r="F10" s="17" t="str">
        <x:v>减少操作但避免误用失效数据</x:v>
      </x:c>
    </x:row>
    <x:row r="11" ht="44" customHeight="1">
      <x:c r="A11" s="19" t="str">
        <x:v>S-007</x:v>
      </x:c>
      <x:c r="B11" s="19" t="str">
        <x:v>V1.0</x:v>
      </x:c>
      <x:c r="C11" s="19" t="str">
        <x:v>每日卡片</x:v>
      </x:c>
      <x:c r="D11" s="19" t="str">
        <x:v>每天 09:00 向固定群发送一张互动卡片；公开区展示全部有效预约，privateData 展示每人的“我的预约”，仅一个“进入预约”按钮。</x:v>
      </x:c>
      <x:c r="E11" s="19" t="str">
        <x:v>已明确</x:v>
      </x:c>
      <x:c r="F11" s="19" t="str">
        <x:v>变更时更新原卡</x:v>
      </x:c>
    </x:row>
    <x:row r="12" ht="44" customHeight="1">
      <x:c r="A12" s="17" t="str">
        <x:v>S-008</x:v>
      </x:c>
      <x:c r="B12" s="17" t="str">
        <x:v>V1.0</x:v>
      </x:c>
      <x:c r="C12" s="17" t="str">
        <x:v>资源硬约束</x:v>
      </x:c>
      <x:c r="D12" s="17" t="str">
        <x:v>老师启用且未休息、服务结束不晚于下班、同一老师有效预约时段不重叠；管理员不能绕过。</x:v>
      </x:c>
      <x:c r="E12" s="17" t="str">
        <x:v>已明确</x:v>
      </x:c>
      <x:c r="F12" s="17" t="str">
        <x:v>PostgreSQL 排斥约束兜底</x:v>
      </x:c>
    </x:row>
    <x:row r="13" ht="44" customHeight="1">
      <x:c r="A13" s="18" t="str">
        <x:v>S-009</x:v>
      </x:c>
      <x:c r="B13" s="18" t="str">
        <x:v>V1.1</x:v>
      </x:c>
      <x:c r="C13" s="18" t="str">
        <x:v>魔点模式</x:v>
      </x:c>
      <x:c r="D13" s="18" t="str">
        <x:v>钉钉渠道、企业用户直连；memberId 直接使用钉钉 userId，不调用 appToken，不主动轮询。</x:v>
      </x:c>
      <x:c r="E13" s="18" t="str">
        <x:v>纳入 V1.1</x:v>
      </x:c>
      <x:c r="F13" s="18" t="str">
        <x:v>单公司单机构</x:v>
      </x:c>
    </x:row>
    <x:row r="14" ht="44" customHeight="1">
      <x:c r="A14" s="17" t="str">
        <x:v>S-010</x:v>
      </x:c>
      <x:c r="B14" s="17" t="str">
        <x:v>V1.1</x:v>
      </x:c>
      <x:c r="C14" s="17" t="str">
        <x:v>门禁回调</x:v>
      </x:c>
      <x:c r="D14" s="17" t="str">
        <x:v>MD-02 注册的 REC_SUCCESS 业务回调负责门禁识别；应用级回调 URL 是授权/生命周期通知，不能替代。</x:v>
      </x:c>
      <x:c r="E14" s="17" t="str">
        <x:v>已明确</x:v>
      </x:c>
      <x:c r="F14" s="17" t="str">
        <x:v>公网 HTTPS</x:v>
      </x:c>
    </x:row>
    <x:row r="15" ht="44" customHeight="1">
      <x:c r="A15" s="19" t="str">
        <x:v>S-011</x:v>
      </x:c>
      <x:c r="B15" s="19" t="str">
        <x:v>V1.1</x:v>
      </x:c>
      <x:c r="C15" s="19" t="str">
        <x:v>到司状态</x:v>
      </x:c>
      <x:c r="D15" s="19" t="str">
        <x:v>PENDING、ARRIVED、NO_GATE_EVENT、LATE；未收到回调仅表述为“未检测到门禁记录”。</x:v>
      </x:c>
      <x:c r="E15" s="19" t="str">
        <x:v>已明确</x:v>
      </x:c>
      <x:c r="F15" s="19" t="str">
        <x:v>不把缺少事件当作绝对未到司事实</x:v>
      </x:c>
    </x:row>
    <x:row r="16" ht="44" customHeight="1">
      <x:c r="A16" s="17" t="str">
        <x:v>S-012</x:v>
      </x:c>
      <x:c r="B16" s="17" t="str">
        <x:v>V1.1</x:v>
      </x:c>
      <x:c r="C16" s="17" t="str">
        <x:v>迟到提醒</x:v>
      </x:c>
      <x:c r="D16" s="17" t="str">
        <x:v>预约开始加宽限时间仍无有效门禁记录时，向固定群创建一张带 @ 的简洁互动卡片；同类提醒去重。</x:v>
      </x:c>
      <x:c r="E16" s="17" t="str">
        <x:v>纳入 V1.1</x:v>
      </x:c>
      <x:c r="F16" s="17" t="str">
        <x:v>不更新每日卡片替代提醒</x:v>
      </x:c>
    </x:row>
    <x:row r="17" ht="44" customHeight="1">
      <x:c r="A17" s="18" t="str">
        <x:v>S-013</x:v>
      </x:c>
      <x:c r="B17" s="18" t="str">
        <x:v>V1.0</x:v>
      </x:c>
      <x:c r="C17" s="18" t="str">
        <x:v>管理员并发</x:v>
      </x:c>
      <x:c r="D17" s="18" t="str">
        <x:v>管理员新增、启用和停用使用事务级咨询锁串行化；提交后至少保留一名启用管理员。</x:v>
      </x:c>
      <x:c r="E17" s="18" t="str">
        <x:v>已明确</x:v>
      </x:c>
      <x:c r="F17" s="18" t="str">
        <x:v>防止并发互停导致零管理员</x:v>
      </x:c>
    </x:row>
    <x:row r="18" ht="44" customHeight="1">
      <x:c r="A18" s="17" t="str">
        <x:v>S-014</x:v>
      </x:c>
      <x:c r="B18" s="17" t="str">
        <x:v>V1.1</x:v>
      </x:c>
      <x:c r="C18" s="17" t="str">
        <x:v>门禁匹配</x:v>
      </x:c>
      <x:c r="D18" s="17" t="str">
        <x:v>有效窗口为预约开始前6小时至预约结束；多候选先取最近已开始预约，否则取最近将开始预约，再按创建时间和ID排序。</x:v>
      </x:c>
      <x:c r="E18" s="17" t="str">
        <x:v>已明确</x:v>
      </x:c>
      <x:c r="F18" s="17" t="str">
        <x:v>一个事件不可复用</x:v>
      </x:c>
    </x:row>
    <x:row r="19" ht="44" customHeight="1">
      <x:c r="A19" s="19" t="str">
        <x:v>S-015</x:v>
      </x:c>
      <x:c r="B19" s="19" t="str">
        <x:v>V1.0</x:v>
      </x:c>
      <x:c r="C19" s="19" t="str">
        <x:v>卡片私有区</x:v>
      </x:c>
      <x:c r="D19" s="19" t="str">
        <x:v>privateData 仅为启用主播生成；纯管理员不生成，同时具备主播身份的管理员按主播规则生成。</x:v>
      </x:c>
      <x:c r="E19" s="19" t="str">
        <x:v>已明确</x:v>
      </x:c>
      <x:c r="F19" s="19" t="str">
        <x:v>消除角色歧义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9" hidden="0" customWidth="1"/>
    <x:col min="3" max="3" width="15" hidden="0" customWidth="1"/>
    <x:col min="4" max="4" width="36" hidden="0" customWidth="1"/>
    <x:col min="5" max="5" width="50" hidden="0" customWidth="1"/>
    <x:col min="6" max="6" width="10" hidden="0" customWidth="1"/>
    <x:col min="7" max="7" width="12" hidden="0" customWidth="1"/>
    <x:col min="8" max="8" width="12" hidden="0" customWidth="1"/>
    <x:col min="9" max="9" width="14" hidden="0" customWidth="1"/>
    <x:col min="10" max="10" width="20" hidden="0" customWidth="1"/>
  </x:cols>
  <x:sheetData>
    <x:row r="1" ht="30" customHeight="1">
      <x:c r="A1" s="3" t="str">
        <x:v>加贝云 V1.0｜验收清单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V1.0 核心预约与互动卡片；V1.1 魔点门禁与迟到。状态列可下拉选择。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3" t="str">
        <x:v>ID</x:v>
      </x:c>
      <x:c r="B4" s="13" t="str">
        <x:v>版本</x:v>
      </x:c>
      <x:c r="C4" s="13" t="str">
        <x:v>模块</x:v>
      </x:c>
      <x:c r="D4" s="13" t="str">
        <x:v>验收项</x:v>
      </x:c>
      <x:c r="E4" s="13" t="str">
        <x:v>可验证结果</x:v>
      </x:c>
      <x:c r="F4" s="13" t="str">
        <x:v>优先级</x:v>
      </x:c>
      <x:c r="G4" s="13" t="str">
        <x:v>测试类型</x:v>
      </x:c>
      <x:c r="H4" s="13" t="str">
        <x:v>状态</x:v>
      </x:c>
      <x:c r="I4" s="13" t="str">
        <x:v>负责人</x:v>
      </x:c>
      <x:c r="J4" s="13" t="str">
        <x:v>备注</x:v>
      </x:c>
    </x:row>
    <x:row r="5" ht="44" customHeight="1">
      <x:c r="A5" s="18" t="str">
        <x:v>AC-001</x:v>
      </x:c>
      <x:c r="B5" s="18" t="str">
        <x:v>V1.0</x:v>
      </x:c>
      <x:c r="C5" s="18" t="str">
        <x:v>免登与权限</x:v>
      </x:c>
      <x:c r="D5" s="18" t="str">
        <x:v>钉钉免登后按本地启用角色路由</x:v>
      </x:c>
      <x:c r="E5" s="18" t="str">
        <x:v>管理员进入管理端；主播进入主播端；其他员工只见无权限页</x:v>
      </x:c>
      <x:c r="F5" s="18" t="str">
        <x:v>P0</x:v>
      </x:c>
      <x:c r="G5" s="18" t="str">
        <x:v>功能</x:v>
      </x:c>
      <x:c r="H5" s="18" t="str">
        <x:v>未执行</x:v>
      </x:c>
      <x:c r="I5" s="18" t="str"/>
      <x:c r="J5" s="18" t="str"/>
    </x:row>
    <x:row r="6" ht="44" customHeight="1">
      <x:c r="A6" s="17" t="str">
        <x:v>AC-002</x:v>
      </x:c>
      <x:c r="B6" s="17" t="str">
        <x:v>V1.0</x:v>
      </x:c>
      <x:c r="C6" s="17" t="str">
        <x:v>主播首页</x:v>
      </x:c>
      <x:c r="D6" s="17" t="str">
        <x:v>今天/明天、我的预约、快速预约、当日安排和规则入口在一个移动端页面内</x:v>
      </x:c>
      <x:c r="E6" s="17" t="str">
        <x:v>360px 宽度下无需横向滚动，核心操作一屏可理解</x:v>
      </x:c>
      <x:c r="F6" s="17" t="str">
        <x:v>P1</x:v>
      </x:c>
      <x:c r="G6" s="17" t="str">
        <x:v>UI</x:v>
      </x:c>
      <x:c r="H6" s="17" t="str">
        <x:v>未执行</x:v>
      </x:c>
      <x:c r="I6" s="17" t="str"/>
      <x:c r="J6" s="17" t="str"/>
    </x:row>
    <x:row r="7" ht="44" customHeight="1">
      <x:c r="A7" s="19" t="str">
        <x:v>AC-003</x:v>
      </x:c>
      <x:c r="B7" s="19" t="str">
        <x:v>V1.0</x:v>
      </x:c>
      <x:c r="C7" s="19" t="str">
        <x:v>创建预约</x:v>
      </x:c>
      <x:c r="D7" s="19" t="str">
        <x:v>合法老师、时间、团队可创建本人预约</x:v>
      </x:c>
      <x:c r="E7" s="19" t="str">
        <x:v>预约、快照、审计、偏好和卡片刷新任务同事务成功</x:v>
      </x:c>
      <x:c r="F7" s="19" t="str">
        <x:v>P0</x:v>
      </x:c>
      <x:c r="G7" s="19" t="str">
        <x:v>功能</x:v>
      </x:c>
      <x:c r="H7" s="19" t="str">
        <x:v>未执行</x:v>
      </x:c>
      <x:c r="I7" s="19" t="str"/>
      <x:c r="J7" s="19" t="str"/>
    </x:row>
    <x:row r="8" ht="44" customHeight="1">
      <x:c r="A8" s="17" t="str">
        <x:v>AC-004</x:v>
      </x:c>
      <x:c r="B8" s="17" t="str">
        <x:v>V1.0</x:v>
      </x:c>
      <x:c r="C8" s="17" t="str">
        <x:v>同日资格</x:v>
      </x:c>
      <x:c r="D8" s="17" t="str">
        <x:v>同一主播同一预约日期最多一条非作废记录</x:v>
      </x:c>
      <x:c r="E8" s="17" t="str">
        <x:v>ACTIVE 或 CANCELLED 已存在时返回冲突；VOIDED 后允许重约</x:v>
      </x:c>
      <x:c r="F8" s="17" t="str">
        <x:v>P0</x:v>
      </x:c>
      <x:c r="G8" s="17" t="str">
        <x:v>数据库</x:v>
      </x:c>
      <x:c r="H8" s="17" t="str">
        <x:v>未执行</x:v>
      </x:c>
      <x:c r="I8" s="17" t="str"/>
      <x:c r="J8" s="17" t="str"/>
    </x:row>
    <x:row r="9" ht="44" customHeight="1">
      <x:c r="A9" s="18" t="str">
        <x:v>AC-005</x:v>
      </x:c>
      <x:c r="B9" s="18" t="str">
        <x:v>V1.0</x:v>
      </x:c>
      <x:c r="C9" s="18" t="str">
        <x:v>老师冲突</x:v>
      </x:c>
      <x:c r="D9" s="18" t="str">
        <x:v>同一老师有效预约时段不能重叠</x:v>
      </x:c>
      <x:c r="E9" s="18" t="str">
        <x:v>并发抢同一时段只有一个成功；相邻区间可以共存</x:v>
      </x:c>
      <x:c r="F9" s="18" t="str">
        <x:v>P0</x:v>
      </x:c>
      <x:c r="G9" s="18" t="str">
        <x:v>并发</x:v>
      </x:c>
      <x:c r="H9" s="18" t="str">
        <x:v>未执行</x:v>
      </x:c>
      <x:c r="I9" s="18" t="str"/>
      <x:c r="J9" s="18" t="str"/>
    </x:row>
    <x:row r="10" ht="44" customHeight="1">
      <x:c r="A10" s="17" t="str">
        <x:v>AC-006</x:v>
      </x:c>
      <x:c r="B10" s="17" t="str">
        <x:v>V1.0</x:v>
      </x:c>
      <x:c r="C10" s="17" t="str">
        <x:v>默认值</x:v>
      </x:c>
      <x:c r="D10" s="17" t="str">
        <x:v>最近有效老师、时间、团队自动选中</x:v>
      </x:c>
      <x:c r="E10" s="17" t="str">
        <x:v>只有启用、未休息、未冲突且满足提前量时自动选中</x:v>
      </x:c>
      <x:c r="F10" s="17" t="str">
        <x:v>P1</x:v>
      </x:c>
      <x:c r="G10" s="17" t="str">
        <x:v>功能</x:v>
      </x:c>
      <x:c r="H10" s="17" t="str">
        <x:v>未执行</x:v>
      </x:c>
      <x:c r="I10" s="17" t="str"/>
      <x:c r="J10" s="17" t="str"/>
    </x:row>
    <x:row r="11" ht="44" customHeight="1">
      <x:c r="A11" s="19" t="str">
        <x:v>AC-007</x:v>
      </x:c>
      <x:c r="B11" s="19" t="str">
        <x:v>V1.0</x:v>
      </x:c>
      <x:c r="C11" s="19" t="str">
        <x:v>主播取消</x:v>
      </x:c>
      <x:c r="D11" s="19" t="str">
        <x:v>本人有效预约可在截止时间前取消</x:v>
      </x:c>
      <x:c r="E11" s="19" t="str">
        <x:v>状态为 CANCELLED、释放老师时段、仍占预约日期资格</x:v>
      </x:c>
      <x:c r="F11" s="19" t="str">
        <x:v>P0</x:v>
      </x:c>
      <x:c r="G11" s="19" t="str">
        <x:v>功能</x:v>
      </x:c>
      <x:c r="H11" s="19" t="str">
        <x:v>未执行</x:v>
      </x:c>
      <x:c r="I11" s="19" t="str"/>
      <x:c r="J11" s="19" t="str"/>
    </x:row>
    <x:row r="12" ht="44" customHeight="1">
      <x:c r="A12" s="17" t="str">
        <x:v>AC-008</x:v>
      </x:c>
      <x:c r="B12" s="17" t="str">
        <x:v>V1.0</x:v>
      </x:c>
      <x:c r="C12" s="17" t="str">
        <x:v>取消日限次</x:v>
      </x:c>
      <x:c r="D12" s="17" t="str">
        <x:v>主播同一点击自然日最多成功取消一次</x:v>
      </x:c>
      <x:c r="E12" s="17" t="str">
        <x:v>取消今天或明天任一预约后，当天第二次取消被拒绝；管理员取消不计次</x:v>
      </x:c>
      <x:c r="F12" s="17" t="str">
        <x:v>P0</x:v>
      </x:c>
      <x:c r="G12" s="17" t="str">
        <x:v>并发</x:v>
      </x:c>
      <x:c r="H12" s="17" t="str">
        <x:v>未执行</x:v>
      </x:c>
      <x:c r="I12" s="17" t="str"/>
      <x:c r="J12" s="17" t="str"/>
    </x:row>
    <x:row r="13" ht="44" customHeight="1">
      <x:c r="A13" s="18" t="str">
        <x:v>AC-009</x:v>
      </x:c>
      <x:c r="B13" s="18" t="str">
        <x:v>V1.0</x:v>
      </x:c>
      <x:c r="C13" s="18" t="str">
        <x:v>管理员纠错</x:v>
      </x:c>
      <x:c r="D13" s="18" t="str">
        <x:v>管理员可代预约、修改、取消和作废并填写原因</x:v>
      </x:c>
      <x:c r="E13" s="18" t="str">
        <x:v>写操作均有操作者、时间、原因、前后值审计；不能强制覆盖冲突</x:v>
      </x:c>
      <x:c r="F13" s="18" t="str">
        <x:v>P0</x:v>
      </x:c>
      <x:c r="G13" s="18" t="str">
        <x:v>功能</x:v>
      </x:c>
      <x:c r="H13" s="18" t="str">
        <x:v>未执行</x:v>
      </x:c>
      <x:c r="I13" s="18" t="str"/>
      <x:c r="J13" s="18" t="str"/>
    </x:row>
    <x:row r="14" ht="44" customHeight="1">
      <x:c r="A14" s="17" t="str">
        <x:v>AC-010</x:v>
      </x:c>
      <x:c r="B14" s="17" t="str">
        <x:v>V1.0</x:v>
      </x:c>
      <x:c r="C14" s="17" t="str">
        <x:v>管理员名单</x:v>
      </x:c>
      <x:c r="D14" s="17" t="str">
        <x:v>同级管理员可新增、启用和停用管理员</x:v>
      </x:c>
      <x:c r="E14" s="17" t="str">
        <x:v>不能停用最后一名启用管理员；权限变更立即生效</x:v>
      </x:c>
      <x:c r="F14" s="17" t="str">
        <x:v>P0</x:v>
      </x:c>
      <x:c r="G14" s="17" t="str">
        <x:v>权限</x:v>
      </x:c>
      <x:c r="H14" s="17" t="str">
        <x:v>未执行</x:v>
      </x:c>
      <x:c r="I14" s="17" t="str"/>
      <x:c r="J14" s="17" t="str"/>
    </x:row>
    <x:row r="15" ht="44" customHeight="1">
      <x:c r="A15" s="19" t="str">
        <x:v>AC-011</x:v>
      </x:c>
      <x:c r="B15" s="19" t="str">
        <x:v>V1.0</x:v>
      </x:c>
      <x:c r="C15" s="19" t="str">
        <x:v>老师与团队</x:v>
      </x:c>
      <x:c r="D15" s="19" t="str">
        <x:v>启用、停用和休息状态影响新预约但保留历史</x:v>
      </x:c>
      <x:c r="E15" s="19" t="str">
        <x:v>停用后不可新选；历史仍显示预约时名称快照</x:v>
      </x:c>
      <x:c r="F15" s="19" t="str">
        <x:v>P1</x:v>
      </x:c>
      <x:c r="G15" s="19" t="str">
        <x:v>功能</x:v>
      </x:c>
      <x:c r="H15" s="19" t="str">
        <x:v>未执行</x:v>
      </x:c>
      <x:c r="I15" s="19" t="str"/>
      <x:c r="J15" s="19" t="str"/>
    </x:row>
    <x:row r="16" ht="44" customHeight="1">
      <x:c r="A16" s="17" t="str">
        <x:v>AC-012</x:v>
      </x:c>
      <x:c r="B16" s="17" t="str">
        <x:v>V1.0</x:v>
      </x:c>
      <x:c r="C16" s="17" t="str">
        <x:v>系统开关</x:v>
      </x:c>
      <x:c r="D16" s="17" t="str">
        <x:v>关闭后主播仍可查看但不能写</x:v>
      </x:c>
      <x:c r="E16" s="17" t="str">
        <x:v>创建和取消被后端拒绝；管理员查看及写操作不受开关影响</x:v>
      </x:c>
      <x:c r="F16" s="17" t="str">
        <x:v>P0</x:v>
      </x:c>
      <x:c r="G16" s="17" t="str">
        <x:v>权限</x:v>
      </x:c>
      <x:c r="H16" s="17" t="str">
        <x:v>未执行</x:v>
      </x:c>
      <x:c r="I16" s="17" t="str"/>
      <x:c r="J16" s="17" t="str"/>
    </x:row>
    <x:row r="17" ht="44" customHeight="1">
      <x:c r="A17" s="18" t="str">
        <x:v>AC-013</x:v>
      </x:c>
      <x:c r="B17" s="18" t="str">
        <x:v>V1.0</x:v>
      </x:c>
      <x:c r="C17" s="18" t="str">
        <x:v>互动卡片</x:v>
      </x:c>
      <x:c r="D17" s="18" t="str">
        <x:v>每日 09:00 只发送一张今日安排卡</x:v>
      </x:c>
      <x:c r="E17" s="18" t="str">
        <x:v>同群同日只有一个 outTrackId，变更更新原卡且最终内容为最新版本</x:v>
      </x:c>
      <x:c r="F17" s="18" t="str">
        <x:v>P0</x:v>
      </x:c>
      <x:c r="G17" s="18" t="str">
        <x:v>集成</x:v>
      </x:c>
      <x:c r="H17" s="18" t="str">
        <x:v>未执行</x:v>
      </x:c>
      <x:c r="I17" s="18" t="str"/>
      <x:c r="J17" s="18" t="str"/>
    </x:row>
    <x:row r="18" ht="44" customHeight="1">
      <x:c r="A18" s="17" t="str">
        <x:v>AC-014</x:v>
      </x:c>
      <x:c r="B18" s="17" t="str">
        <x:v>V1.0</x:v>
      </x:c>
      <x:c r="C18" s="17" t="str">
        <x:v>卡片私有区</x:v>
      </x:c>
      <x:c r="D18" s="17" t="str">
        <x:v>privateData 按 userId 展示每人的我的预约</x:v>
      </x:c>
      <x:c r="E18" s="17" t="str">
        <x:v>用户只能看到自己的私有内容，公开区仍展示全部有效预约</x:v>
      </x:c>
      <x:c r="F18" s="17" t="str">
        <x:v>P0</x:v>
      </x:c>
      <x:c r="G18" s="17" t="str">
        <x:v>集成</x:v>
      </x:c>
      <x:c r="H18" s="17" t="str">
        <x:v>未执行</x:v>
      </x:c>
      <x:c r="I18" s="17" t="str"/>
      <x:c r="J18" s="17" t="str"/>
    </x:row>
    <x:row r="19" ht="44" customHeight="1">
      <x:c r="A19" s="19" t="str">
        <x:v>AC-015</x:v>
      </x:c>
      <x:c r="B19" s="19" t="str">
        <x:v>V1.0</x:v>
      </x:c>
      <x:c r="C19" s="19" t="str">
        <x:v>幂等与审计</x:v>
      </x:c>
      <x:c r="D19" s="19" t="str">
        <x:v>重复提交不会产生重复业务记录</x:v>
      </x:c>
      <x:c r="E19" s="19" t="str">
        <x:v>创建、取消与外部任务均具有稳定幂等键和可追踪 traceId</x:v>
      </x:c>
      <x:c r="F19" s="19" t="str">
        <x:v>P0</x:v>
      </x:c>
      <x:c r="G19" s="19" t="str">
        <x:v>可靠性</x:v>
      </x:c>
      <x:c r="H19" s="19" t="str">
        <x:v>未执行</x:v>
      </x:c>
      <x:c r="I19" s="19" t="str"/>
      <x:c r="J19" s="19" t="str"/>
    </x:row>
    <x:row r="20" ht="44" customHeight="1">
      <x:c r="A20" s="17" t="str">
        <x:v>AC-016</x:v>
      </x:c>
      <x:c r="B20" s="17" t="str">
        <x:v>V1.0</x:v>
      </x:c>
      <x:c r="C20" s="17" t="str">
        <x:v>双端适配</x:v>
      </x:c>
      <x:c r="D20" s="17" t="str">
        <x:v>主播端适配钉钉移动端，管理端同时适配移动和 PC</x:v>
      </x:c>
      <x:c r="E20" s="17" t="str">
        <x:v>Android、iOS、钉钉 PC 核心流程可用</x:v>
      </x:c>
      <x:c r="F20" s="17" t="str">
        <x:v>P1</x:v>
      </x:c>
      <x:c r="G20" s="17" t="str">
        <x:v>兼容</x:v>
      </x:c>
      <x:c r="H20" s="17" t="str">
        <x:v>未执行</x:v>
      </x:c>
      <x:c r="I20" s="17" t="str"/>
      <x:c r="J20" s="17" t="str"/>
    </x:row>
    <x:row r="21" ht="44" customHeight="1">
      <x:c r="A21" s="18" t="str">
        <x:v>AC-017</x:v>
      </x:c>
      <x:c r="B21" s="18" t="str">
        <x:v>V1.0</x:v>
      </x:c>
      <x:c r="C21" s="18" t="str">
        <x:v>资源停用确认</x:v>
      </x:c>
      <x:c r="D21" s="18" t="str">
        <x:v>老师休息/停用或团队停用前检查未来有效预约</x:v>
      </x:c>
      <x:c r="E21" s="18" t="str">
        <x:v>有预约且未确认时返回数量且不变更；确认后重计数并保留历史预约</x:v>
      </x:c>
      <x:c r="F21" s="18" t="str">
        <x:v>P0</x:v>
      </x:c>
      <x:c r="G21" s="18" t="str">
        <x:v>功能</x:v>
      </x:c>
      <x:c r="H21" s="18" t="str">
        <x:v>未执行</x:v>
      </x:c>
      <x:c r="I21" s="18" t="str"/>
      <x:c r="J21" s="18" t="str"/>
    </x:row>
    <x:row r="22" ht="44" customHeight="1">
      <x:c r="A22" s="17" t="str">
        <x:v>AC-018</x:v>
      </x:c>
      <x:c r="B22" s="17" t="str">
        <x:v>V1.0</x:v>
      </x:c>
      <x:c r="C22" s="17" t="str">
        <x:v>安全收口</x:v>
      </x:c>
      <x:c r="D22" s="17" t="str">
        <x:v>后端鉴权、CSRF、Origin、会话失效和生产禁用 Mock 可验证</x:v>
      </x:c>
      <x:c r="E22" s="17" t="str">
        <x:v>SEC-001～SEC-010 与生产检查全部通过</x:v>
      </x:c>
      <x:c r="F22" s="17" t="str">
        <x:v>P0</x:v>
      </x:c>
      <x:c r="G22" s="17" t="str">
        <x:v>安全</x:v>
      </x:c>
      <x:c r="H22" s="17" t="str">
        <x:v>未执行</x:v>
      </x:c>
      <x:c r="I22" s="17" t="str"/>
      <x:c r="J22" s="17" t="str"/>
    </x:row>
    <x:row r="23" ht="44" customHeight="1">
      <x:c r="A23" s="19" t="str">
        <x:v>AC-101</x:v>
      </x:c>
      <x:c r="B23" s="19" t="str">
        <x:v>V1.1</x:v>
      </x:c>
      <x:c r="C23" s="19" t="str">
        <x:v>魔点鉴权</x:v>
      </x:c>
      <x:c r="D23" s="19" t="str">
        <x:v>企业直连模式获取并缓存 orgAccessToken</x:v>
      </x:c>
      <x:c r="E23" s="19" t="str">
        <x:v>不调用 appToken；到期前刷新，日志不泄露 orgAuthKey/Token</x:v>
      </x:c>
      <x:c r="F23" s="19" t="str">
        <x:v>P0</x:v>
      </x:c>
      <x:c r="G23" s="19" t="str">
        <x:v>集成</x:v>
      </x:c>
      <x:c r="H23" s="19" t="str">
        <x:v>未执行</x:v>
      </x:c>
      <x:c r="I23" s="19" t="str"/>
      <x:c r="J23" s="19" t="str"/>
    </x:row>
    <x:row r="24" ht="44" customHeight="1">
      <x:c r="A24" s="17" t="str">
        <x:v>AC-102</x:v>
      </x:c>
      <x:c r="B24" s="17" t="str">
        <x:v>V1.1</x:v>
      </x:c>
      <x:c r="C24" s="17" t="str">
        <x:v>回调注册</x:v>
      </x:c>
      <x:c r="D24" s="17" t="str">
        <x:v>部署阶段注册 REC_SUCCESS 回调</x:v>
      </x:c>
      <x:c r="E24" s="17" t="str">
        <x:v>注册地址为公网 HTTPS；应用级回调 URL 不代替业务回调</x:v>
      </x:c>
      <x:c r="F24" s="17" t="str">
        <x:v>P0</x:v>
      </x:c>
      <x:c r="G24" s="17" t="str">
        <x:v>集成</x:v>
      </x:c>
      <x:c r="H24" s="17" t="str">
        <x:v>未执行</x:v>
      </x:c>
      <x:c r="I24" s="17" t="str"/>
      <x:c r="J24" s="17" t="str"/>
    </x:row>
    <x:row r="25" ht="44" customHeight="1">
      <x:c r="A25" s="18" t="str">
        <x:v>AC-103</x:v>
      </x:c>
      <x:c r="B25" s="18" t="str">
        <x:v>V1.1</x:v>
      </x:c>
      <x:c r="C25" s="18" t="str">
        <x:v>回调验签去重</x:v>
      </x:c>
      <x:c r="D25" s="18" t="str">
        <x:v>重复、伪造和错误设备回调得到正确处理</x:v>
      </x:c>
      <x:c r="E25" s="18" t="str">
        <x:v>有效事件只落一条；错误签名拒绝；非目标设备不误匹配</x:v>
      </x:c>
      <x:c r="F25" s="18" t="str">
        <x:v>P0</x:v>
      </x:c>
      <x:c r="G25" s="18" t="str">
        <x:v>安全</x:v>
      </x:c>
      <x:c r="H25" s="18" t="str">
        <x:v>未执行</x:v>
      </x:c>
      <x:c r="I25" s="18" t="str"/>
      <x:c r="J25" s="18" t="str"/>
    </x:row>
    <x:row r="26" ht="44" customHeight="1">
      <x:c r="A26" s="17" t="str">
        <x:v>AC-104</x:v>
      </x:c>
      <x:c r="B26" s="17" t="str">
        <x:v>V1.1</x:v>
      </x:c>
      <x:c r="C26" s="17" t="str">
        <x:v>到司匹配</x:v>
      </x:c>
      <x:c r="D26" s="17" t="str">
        <x:v>memberId 直接匹配钉钉 userId，并按固定排序关联有效窗口内唯一预约</x:v>
      </x:c>
      <x:c r="E26" s="17" t="str">
        <x:v>一条门禁事件最多关联一条预约；多候选重复执行结果一致</x:v>
      </x:c>
      <x:c r="F26" s="17" t="str">
        <x:v>P0</x:v>
      </x:c>
      <x:c r="G26" s="17" t="str">
        <x:v>功能</x:v>
      </x:c>
      <x:c r="H26" s="17" t="str">
        <x:v>未执行</x:v>
      </x:c>
      <x:c r="I26" s="17" t="str"/>
      <x:c r="J26" s="17" t="str"/>
    </x:row>
    <x:row r="27" ht="44" customHeight="1">
      <x:c r="A27" s="19" t="str">
        <x:v>AC-105</x:v>
      </x:c>
      <x:c r="B27" s="19" t="str">
        <x:v>V1.1</x:v>
      </x:c>
      <x:c r="C27" s="19" t="str">
        <x:v>状态判定</x:v>
      </x:c>
      <x:c r="D27" s="19" t="str">
        <x:v>按回调时间与宽限时间派生到司/迟到状态</x:v>
      </x:c>
      <x:c r="E27" s="19" t="str">
        <x:v>准确显示 PENDING、ARRIVED、NO_GATE_EVENT、LATE 与迟到分钟</x:v>
      </x:c>
      <x:c r="F27" s="19" t="str">
        <x:v>P0</x:v>
      </x:c>
      <x:c r="G27" s="19" t="str">
        <x:v>功能</x:v>
      </x:c>
      <x:c r="H27" s="19" t="str">
        <x:v>未执行</x:v>
      </x:c>
      <x:c r="I27" s="19" t="str"/>
      <x:c r="J27" s="19" t="str"/>
    </x:row>
    <x:row r="28" ht="44" customHeight="1">
      <x:c r="A28" s="17" t="str">
        <x:v>AC-106</x:v>
      </x:c>
      <x:c r="B28" s="17" t="str">
        <x:v>V1.1</x:v>
      </x:c>
      <x:c r="C28" s="17" t="str">
        <x:v>迟到提醒</x:v>
      </x:c>
      <x:c r="D28" s="17" t="str">
        <x:v>宽限后无有效记录时群内 @ 主播一次</x:v>
      </x:c>
      <x:c r="E28" s="17" t="str">
        <x:v>同一预约同类提醒最多一条，重试不重复发送</x:v>
      </x:c>
      <x:c r="F28" s="17" t="str">
        <x:v>P0</x:v>
      </x:c>
      <x:c r="G28" s="17" t="str">
        <x:v>可靠性</x:v>
      </x:c>
      <x:c r="H28" s="17" t="str">
        <x:v>未执行</x:v>
      </x:c>
      <x:c r="I28" s="17" t="str"/>
      <x:c r="J28" s="17" t="str"/>
    </x:row>
  </x:sheetData>
  <x:mergeCells>
    <x:mergeCell ref="A1:J1"/>
    <x:mergeCell ref="A2:J2"/>
  </x:mergeCells>
  <x:conditionalFormatting sqref="H5:H28">
    <x:cfRule type="containsText" dxfId="0" priority="1" operator="containsText" text="通过"/>
    <x:cfRule type="containsText" dxfId="1" priority="2" operator="containsText" text="失败"/>
    <x:cfRule type="containsText" dxfId="2" priority="3" operator="containsText" text="阻塞"/>
  </x:conditionalFormatting>
  <x:dataValidations count="1">
    <x:dataValidation type="list" sqref="H5:H28">
      <x:formula1>"未执行,通过,失败,阻塞,不适用"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9" hidden="0" customWidth="1"/>
    <x:col min="3" max="3" width="12" hidden="0" customWidth="1"/>
    <x:col min="4" max="4" width="24" hidden="0" customWidth="1"/>
    <x:col min="5" max="5" width="27" hidden="0" customWidth="1"/>
    <x:col min="6" max="6" width="32" hidden="0" customWidth="1"/>
    <x:col min="7" max="7" width="46" hidden="0" customWidth="1"/>
    <x:col min="8" max="8" width="10" hidden="0" customWidth="1"/>
    <x:col min="9" max="9" width="11" hidden="0" customWidth="1"/>
    <x:col min="10" max="10" width="12" hidden="0" customWidth="1"/>
    <x:col min="11" max="11" width="28" hidden="0" customWidth="1"/>
    <x:col min="12" max="12" width="14" hidden="0" customWidth="1"/>
  </x:cols>
  <x:sheetData>
    <x:row r="1" ht="30" customHeight="1">
      <x:c r="A1" s="3" t="str">
        <x:v>加贝云 V1.0｜功能测试用例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覆盖身份、预约、取消日限次、管理员纠错、管理员并发、资源停用确认与首版范围。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0" customHeight="1">
      <x:c r="A4" s="13" t="str">
        <x:v>ID</x:v>
      </x:c>
      <x:c r="B4" s="13" t="str">
        <x:v>版本</x:v>
      </x:c>
      <x:c r="C4" s="13" t="str">
        <x:v>模块</x:v>
      </x:c>
      <x:c r="D4" s="13" t="str">
        <x:v>场景</x:v>
      </x:c>
      <x:c r="E4" s="13" t="str">
        <x:v>前置条件</x:v>
      </x:c>
      <x:c r="F4" s="13" t="str">
        <x:v>步骤/输入</x:v>
      </x:c>
      <x:c r="G4" s="13" t="str">
        <x:v>预期结果</x:v>
      </x:c>
      <x:c r="H4" s="13" t="str">
        <x:v>优先级</x:v>
      </x:c>
      <x:c r="I4" s="13" t="str">
        <x:v>类别</x:v>
      </x:c>
      <x:c r="J4" s="13" t="str">
        <x:v>状态</x:v>
      </x:c>
      <x:c r="K4" s="13" t="str">
        <x:v>实际结果</x:v>
      </x:c>
      <x:c r="L4" s="13" t="str">
        <x:v>缺陷ID</x:v>
      </x:c>
    </x:row>
    <x:row r="5" ht="44" customHeight="1">
      <x:c r="A5" s="18" t="str">
        <x:v>FT-001</x:v>
      </x:c>
      <x:c r="B5" s="18" t="str">
        <x:v>V1.0</x:v>
      </x:c>
      <x:c r="C5" s="18" t="str">
        <x:v>身份</x:v>
      </x:c>
      <x:c r="D5" s="18" t="str">
        <x:v>管理员免登</x:v>
      </x:c>
      <x:c r="E5" s="18" t="str">
        <x:v>管理员启用</x:v>
      </x:c>
      <x:c r="F5" s="18" t="str">
        <x:v>打开微应用并完成免登</x:v>
      </x:c>
      <x:c r="G5" s="18" t="str">
        <x:v>进入管理端且后端角色为 ADMIN</x:v>
      </x:c>
      <x:c r="H5" s="18" t="str">
        <x:v>P0</x:v>
      </x:c>
      <x:c r="I5" s="18" t="str">
        <x:v>正向</x:v>
      </x:c>
      <x:c r="J5" s="18" t="str">
        <x:v>未执行</x:v>
      </x:c>
      <x:c r="K5" s="18" t="str"/>
      <x:c r="L5" s="18" t="str"/>
    </x:row>
    <x:row r="6" ht="44" customHeight="1">
      <x:c r="A6" s="17" t="str">
        <x:v>FT-002</x:v>
      </x:c>
      <x:c r="B6" s="17" t="str">
        <x:v>V1.0</x:v>
      </x:c>
      <x:c r="C6" s="17" t="str">
        <x:v>身份</x:v>
      </x:c>
      <x:c r="D6" s="17" t="str">
        <x:v>主播免登</x:v>
      </x:c>
      <x:c r="E6" s="17" t="str">
        <x:v>主播启用</x:v>
      </x:c>
      <x:c r="F6" s="17" t="str">
        <x:v>打开微应用并完成免登</x:v>
      </x:c>
      <x:c r="G6" s="17" t="str">
        <x:v>进入主播端且仅可操作本人记录</x:v>
      </x:c>
      <x:c r="H6" s="17" t="str">
        <x:v>P0</x:v>
      </x:c>
      <x:c r="I6" s="17" t="str">
        <x:v>正向</x:v>
      </x:c>
      <x:c r="J6" s="17" t="str">
        <x:v>未执行</x:v>
      </x:c>
      <x:c r="K6" s="17" t="str"/>
      <x:c r="L6" s="17" t="str"/>
    </x:row>
    <x:row r="7" ht="44" customHeight="1">
      <x:c r="A7" s="19" t="str">
        <x:v>FT-003</x:v>
      </x:c>
      <x:c r="B7" s="19" t="str">
        <x:v>V1.0</x:v>
      </x:c>
      <x:c r="C7" s="19" t="str">
        <x:v>身份</x:v>
      </x:c>
      <x:c r="D7" s="19" t="str">
        <x:v>无权限员工</x:v>
      </x:c>
      <x:c r="E7" s="19" t="str">
        <x:v>本地无有效角色</x:v>
      </x:c>
      <x:c r="F7" s="19" t="str">
        <x:v>打开微应用</x:v>
      </x:c>
      <x:c r="G7" s="19" t="str">
        <x:v>显示无权限页，业务 API 返回 403 USER_NOT_AUTHORIZED</x:v>
      </x:c>
      <x:c r="H7" s="19" t="str">
        <x:v>P0</x:v>
      </x:c>
      <x:c r="I7" s="19" t="str">
        <x:v>反向</x:v>
      </x:c>
      <x:c r="J7" s="19" t="str">
        <x:v>未执行</x:v>
      </x:c>
      <x:c r="K7" s="19" t="str"/>
      <x:c r="L7" s="19" t="str"/>
    </x:row>
    <x:row r="8" ht="44" customHeight="1">
      <x:c r="A8" s="17" t="str">
        <x:v>FT-004</x:v>
      </x:c>
      <x:c r="B8" s="17" t="str">
        <x:v>V1.0</x:v>
      </x:c>
      <x:c r="C8" s="17" t="str">
        <x:v>身份</x:v>
      </x:c>
      <x:c r="D8" s="17" t="str">
        <x:v>停用管理员立即失效</x:v>
      </x:c>
      <x:c r="E8" s="17" t="str">
        <x:v>管理员已登录</x:v>
      </x:c>
      <x:c r="F8" s="17" t="str">
        <x:v>另一管理员停用该账号后继续提交管理命令</x:v>
      </x:c>
      <x:c r="G8" s="17" t="str">
        <x:v>后端返回 403 USER_NOT_AUTHORIZED</x:v>
      </x:c>
      <x:c r="H8" s="17" t="str">
        <x:v>P0</x:v>
      </x:c>
      <x:c r="I8" s="17" t="str">
        <x:v>权限</x:v>
      </x:c>
      <x:c r="J8" s="17" t="str">
        <x:v>未执行</x:v>
      </x:c>
      <x:c r="K8" s="17" t="str"/>
      <x:c r="L8" s="17" t="str"/>
    </x:row>
    <x:row r="9" ht="44" customHeight="1">
      <x:c r="A9" s="18" t="str">
        <x:v>FT-005</x:v>
      </x:c>
      <x:c r="B9" s="18" t="str">
        <x:v>V1.0</x:v>
      </x:c>
      <x:c r="C9" s="18" t="str">
        <x:v>预约</x:v>
      </x:c>
      <x:c r="D9" s="18" t="str">
        <x:v>恰好提前 30 分钟</x:v>
      </x:c>
      <x:c r="E9" s="18" t="str">
        <x:v>时间固定</x:v>
      </x:c>
      <x:c r="F9" s="18" t="str">
        <x:v>创建预约</x:v>
      </x:c>
      <x:c r="G9" s="18" t="str">
        <x:v>允许创建</x:v>
      </x:c>
      <x:c r="H9" s="18" t="str">
        <x:v>P0</x:v>
      </x:c>
      <x:c r="I9" s="18" t="str">
        <x:v>边界</x:v>
      </x:c>
      <x:c r="J9" s="18" t="str">
        <x:v>未执行</x:v>
      </x:c>
      <x:c r="K9" s="18" t="str"/>
      <x:c r="L9" s="18" t="str"/>
    </x:row>
    <x:row r="10" ht="44" customHeight="1">
      <x:c r="A10" s="17" t="str">
        <x:v>FT-006</x:v>
      </x:c>
      <x:c r="B10" s="17" t="str">
        <x:v>V1.0</x:v>
      </x:c>
      <x:c r="C10" s="17" t="str">
        <x:v>预约</x:v>
      </x:c>
      <x:c r="D10" s="17" t="str">
        <x:v>少于提前量</x:v>
      </x:c>
      <x:c r="E10" s="17" t="str">
        <x:v>开始时间不足 30 分钟</x:v>
      </x:c>
      <x:c r="F10" s="17" t="str">
        <x:v>创建预约</x:v>
      </x:c>
      <x:c r="G10" s="17" t="str">
        <x:v>422 MIN_LEAD_TIME_NOT_MET，不落库</x:v>
      </x:c>
      <x:c r="H10" s="17" t="str">
        <x:v>P0</x:v>
      </x:c>
      <x:c r="I10" s="17" t="str">
        <x:v>边界</x:v>
      </x:c>
      <x:c r="J10" s="17" t="str">
        <x:v>未执行</x:v>
      </x:c>
      <x:c r="K10" s="17" t="str"/>
      <x:c r="L10" s="17" t="str"/>
    </x:row>
    <x:row r="11" ht="44" customHeight="1">
      <x:c r="A11" s="19" t="str">
        <x:v>FT-007</x:v>
      </x:c>
      <x:c r="B11" s="19" t="str">
        <x:v>V1.0</x:v>
      </x:c>
      <x:c r="C11" s="19" t="str">
        <x:v>预约</x:v>
      </x:c>
      <x:c r="D11" s="19" t="str">
        <x:v>非 10 分钟刻度</x:v>
      </x:c>
      <x:c r="E11" s="19" t="str">
        <x:v>时间为 12:05</x:v>
      </x:c>
      <x:c r="F11" s="19" t="str">
        <x:v>创建预约</x:v>
      </x:c>
      <x:c r="G11" s="19" t="str">
        <x:v>422 TIME_STEP_INVALID</x:v>
      </x:c>
      <x:c r="H11" s="19" t="str">
        <x:v>P1</x:v>
      </x:c>
      <x:c r="I11" s="19" t="str">
        <x:v>反向</x:v>
      </x:c>
      <x:c r="J11" s="19" t="str">
        <x:v>未执行</x:v>
      </x:c>
      <x:c r="K11" s="19" t="str"/>
      <x:c r="L11" s="19" t="str"/>
    </x:row>
    <x:row r="12" ht="44" customHeight="1">
      <x:c r="A12" s="17" t="str">
        <x:v>FT-008</x:v>
      </x:c>
      <x:c r="B12" s="17" t="str">
        <x:v>V1.0</x:v>
      </x:c>
      <x:c r="C12" s="17" t="str">
        <x:v>预约</x:v>
      </x:c>
      <x:c r="D12" s="17" t="str">
        <x:v>服务结束超过下班</x:v>
      </x:c>
      <x:c r="E12" s="17" t="str">
        <x:v>老师 20:00 下班，服务 20 分钟</x:v>
      </x:c>
      <x:c r="F12" s="17" t="str">
        <x:v>选择 19:50</x:v>
      </x:c>
      <x:c r="G12" s="17" t="str">
        <x:v>422 TEACHER_UNAVAILABLE；最晚 19:40</x:v>
      </x:c>
      <x:c r="H12" s="17" t="str">
        <x:v>P0</x:v>
      </x:c>
      <x:c r="I12" s="17" t="str">
        <x:v>边界</x:v>
      </x:c>
      <x:c r="J12" s="17" t="str">
        <x:v>未执行</x:v>
      </x:c>
      <x:c r="K12" s="17" t="str"/>
      <x:c r="L12" s="17" t="str"/>
    </x:row>
    <x:row r="13" ht="44" customHeight="1">
      <x:c r="A13" s="18" t="str">
        <x:v>FT-009</x:v>
      </x:c>
      <x:c r="B13" s="18" t="str">
        <x:v>V1.0</x:v>
      </x:c>
      <x:c r="C13" s="18" t="str">
        <x:v>预约</x:v>
      </x:c>
      <x:c r="D13" s="18" t="str">
        <x:v>老师休息或停用</x:v>
      </x:c>
      <x:c r="E13" s="18" t="str">
        <x:v>老师状态无效</x:v>
      </x:c>
      <x:c r="F13" s="18" t="str">
        <x:v>提交预约</x:v>
      </x:c>
      <x:c r="G13" s="18" t="str">
        <x:v>422 TEACHER_UNAVAILABLE</x:v>
      </x:c>
      <x:c r="H13" s="18" t="str">
        <x:v>P0</x:v>
      </x:c>
      <x:c r="I13" s="18" t="str">
        <x:v>反向</x:v>
      </x:c>
      <x:c r="J13" s="18" t="str">
        <x:v>未执行</x:v>
      </x:c>
      <x:c r="K13" s="18" t="str"/>
      <x:c r="L13" s="18" t="str"/>
    </x:row>
    <x:row r="14" ht="44" customHeight="1">
      <x:c r="A14" s="17" t="str">
        <x:v>FT-010</x:v>
      </x:c>
      <x:c r="B14" s="17" t="str">
        <x:v>V1.0</x:v>
      </x:c>
      <x:c r="C14" s="17" t="str">
        <x:v>预约</x:v>
      </x:c>
      <x:c r="D14" s="17" t="str">
        <x:v>团队停用</x:v>
      </x:c>
      <x:c r="E14" s="17" t="str">
        <x:v>团队已停用</x:v>
      </x:c>
      <x:c r="F14" s="17" t="str">
        <x:v>提交预约</x:v>
      </x:c>
      <x:c r="G14" s="17" t="str">
        <x:v>422 TEAM_UNAVAILABLE</x:v>
      </x:c>
      <x:c r="H14" s="17" t="str">
        <x:v>P0</x:v>
      </x:c>
      <x:c r="I14" s="17" t="str">
        <x:v>反向</x:v>
      </x:c>
      <x:c r="J14" s="17" t="str">
        <x:v>未执行</x:v>
      </x:c>
      <x:c r="K14" s="17" t="str"/>
      <x:c r="L14" s="17" t="str"/>
    </x:row>
    <x:row r="15" ht="44" customHeight="1">
      <x:c r="A15" s="19" t="str">
        <x:v>FT-011</x:v>
      </x:c>
      <x:c r="B15" s="19" t="str">
        <x:v>V1.0</x:v>
      </x:c>
      <x:c r="C15" s="19" t="str">
        <x:v>预约</x:v>
      </x:c>
      <x:c r="D15" s="19" t="str">
        <x:v>已取消仍占资格</x:v>
      </x:c>
      <x:c r="E15" s="19" t="str">
        <x:v>同日存在 CANCELLED</x:v>
      </x:c>
      <x:c r="F15" s="19" t="str">
        <x:v>再次预约</x:v>
      </x:c>
      <x:c r="G15" s="19" t="str">
        <x:v>409 DAILY_APPOINTMENT_EXISTS</x:v>
      </x:c>
      <x:c r="H15" s="19" t="str">
        <x:v>P0</x:v>
      </x:c>
      <x:c r="I15" s="19" t="str">
        <x:v>规则</x:v>
      </x:c>
      <x:c r="J15" s="19" t="str">
        <x:v>未执行</x:v>
      </x:c>
      <x:c r="K15" s="19" t="str"/>
      <x:c r="L15" s="19" t="str"/>
    </x:row>
    <x:row r="16" ht="44" customHeight="1">
      <x:c r="A16" s="17" t="str">
        <x:v>FT-012</x:v>
      </x:c>
      <x:c r="B16" s="17" t="str">
        <x:v>V1.0</x:v>
      </x:c>
      <x:c r="C16" s="17" t="str">
        <x:v>预约</x:v>
      </x:c>
      <x:c r="D16" s="17" t="str">
        <x:v>作废后重新预约</x:v>
      </x:c>
      <x:c r="E16" s="17" t="str">
        <x:v>同日原记录 VOIDED</x:v>
      </x:c>
      <x:c r="F16" s="17" t="str">
        <x:v>再次预约</x:v>
      </x:c>
      <x:c r="G16" s="17" t="str">
        <x:v>成功</x:v>
      </x:c>
      <x:c r="H16" s="17" t="str">
        <x:v>P0</x:v>
      </x:c>
      <x:c r="I16" s="17" t="str">
        <x:v>规则</x:v>
      </x:c>
      <x:c r="J16" s="17" t="str">
        <x:v>未执行</x:v>
      </x:c>
      <x:c r="K16" s="17" t="str"/>
      <x:c r="L16" s="17" t="str"/>
    </x:row>
    <x:row r="17" ht="44" customHeight="1">
      <x:c r="A17" s="18" t="str">
        <x:v>FT-013</x:v>
      </x:c>
      <x:c r="B17" s="18" t="str">
        <x:v>V1.0</x:v>
      </x:c>
      <x:c r="C17" s="18" t="str">
        <x:v>预约</x:v>
      </x:c>
      <x:c r="D17" s="18" t="str">
        <x:v>最近选择有效</x:v>
      </x:c>
      <x:c r="E17" s="18" t="str">
        <x:v>偏好中的老师、时间、团队均合法</x:v>
      </x:c>
      <x:c r="F17" s="18" t="str">
        <x:v>打开预约弹层</x:v>
      </x:c>
      <x:c r="G17" s="18" t="str">
        <x:v>三项自动选中</x:v>
      </x:c>
      <x:c r="H17" s="18" t="str">
        <x:v>P1</x:v>
      </x:c>
      <x:c r="I17" s="18" t="str">
        <x:v>体验</x:v>
      </x:c>
      <x:c r="J17" s="18" t="str">
        <x:v>未执行</x:v>
      </x:c>
      <x:c r="K17" s="18" t="str"/>
      <x:c r="L17" s="18" t="str"/>
    </x:row>
    <x:row r="18" ht="44" customHeight="1">
      <x:c r="A18" s="17" t="str">
        <x:v>FT-014</x:v>
      </x:c>
      <x:c r="B18" s="17" t="str">
        <x:v>V1.0</x:v>
      </x:c>
      <x:c r="C18" s="17" t="str">
        <x:v>预约</x:v>
      </x:c>
      <x:c r="D18" s="17" t="str">
        <x:v>最近时间已冲突</x:v>
      </x:c>
      <x:c r="E18" s="17" t="str">
        <x:v>偏好时间已被占用</x:v>
      </x:c>
      <x:c r="F18" s="17" t="str">
        <x:v>打开预约弹层</x:v>
      </x:c>
      <x:c r="G18" s="17" t="str">
        <x:v>时间清空并解释原因</x:v>
      </x:c>
      <x:c r="H18" s="17" t="str">
        <x:v>P1</x:v>
      </x:c>
      <x:c r="I18" s="17" t="str">
        <x:v>体验</x:v>
      </x:c>
      <x:c r="J18" s="17" t="str">
        <x:v>未执行</x:v>
      </x:c>
      <x:c r="K18" s="17" t="str"/>
      <x:c r="L18" s="17" t="str"/>
    </x:row>
    <x:row r="19" ht="44" customHeight="1">
      <x:c r="A19" s="19" t="str">
        <x:v>FT-015</x:v>
      </x:c>
      <x:c r="B19" s="19" t="str">
        <x:v>V1.0</x:v>
      </x:c>
      <x:c r="C19" s="19" t="str">
        <x:v>取消</x:v>
      </x:c>
      <x:c r="D19" s="19" t="str">
        <x:v>本人按时取消</x:v>
      </x:c>
      <x:c r="E19" s="19" t="str">
        <x:v>ACTIVE 且恰好提前 30 分钟</x:v>
      </x:c>
      <x:c r="F19" s="19" t="str">
        <x:v>点击确认取消</x:v>
      </x:c>
      <x:c r="G19" s="19" t="str">
        <x:v>CANCELLED；老师时段释放；取消日账本一条</x:v>
      </x:c>
      <x:c r="H19" s="19" t="str">
        <x:v>P0</x:v>
      </x:c>
      <x:c r="I19" s="19" t="str">
        <x:v>正向</x:v>
      </x:c>
      <x:c r="J19" s="19" t="str">
        <x:v>未执行</x:v>
      </x:c>
      <x:c r="K19" s="19" t="str"/>
      <x:c r="L19" s="19" t="str"/>
    </x:row>
    <x:row r="20" ht="44" customHeight="1">
      <x:c r="A20" s="17" t="str">
        <x:v>FT-016</x:v>
      </x:c>
      <x:c r="B20" s="17" t="str">
        <x:v>V1.0</x:v>
      </x:c>
      <x:c r="C20" s="17" t="str">
        <x:v>取消</x:v>
      </x:c>
      <x:c r="D20" s="17" t="str">
        <x:v>点击日第二次取消</x:v>
      </x:c>
      <x:c r="E20" s="17" t="str">
        <x:v>主播当天已成功取消一次</x:v>
      </x:c>
      <x:c r="F20" s="17" t="str">
        <x:v>取消另一日期预约</x:v>
      </x:c>
      <x:c r="G20" s="17" t="str">
        <x:v>409 DAILY_CANCEL_LIMIT_REACHED</x:v>
      </x:c>
      <x:c r="H20" s="17" t="str">
        <x:v>P0</x:v>
      </x:c>
      <x:c r="I20" s="17" t="str">
        <x:v>规则</x:v>
      </x:c>
      <x:c r="J20" s="17" t="str">
        <x:v>未执行</x:v>
      </x:c>
      <x:c r="K20" s="17" t="str"/>
      <x:c r="L20" s="17" t="str"/>
    </x:row>
    <x:row r="21" ht="44" customHeight="1">
      <x:c r="A21" s="18" t="str">
        <x:v>FT-017</x:v>
      </x:c>
      <x:c r="B21" s="18" t="str">
        <x:v>V1.0</x:v>
      </x:c>
      <x:c r="C21" s="18" t="str">
        <x:v>取消</x:v>
      </x:c>
      <x:c r="D21" s="18" t="str">
        <x:v>重复点击同一取消</x:v>
      </x:c>
      <x:c r="E21" s="18" t="str">
        <x:v>同一 Idempotency-Key</x:v>
      </x:c>
      <x:c r="F21" s="18" t="str">
        <x:v>连续提交两次</x:v>
      </x:c>
      <x:c r="G21" s="18" t="str">
        <x:v>重放第一次结果，只计一次</x:v>
      </x:c>
      <x:c r="H21" s="18" t="str">
        <x:v>P0</x:v>
      </x:c>
      <x:c r="I21" s="18" t="str">
        <x:v>幂等</x:v>
      </x:c>
      <x:c r="J21" s="18" t="str">
        <x:v>未执行</x:v>
      </x:c>
      <x:c r="K21" s="18" t="str"/>
      <x:c r="L21" s="18" t="str"/>
    </x:row>
    <x:row r="22" ht="44" customHeight="1">
      <x:c r="A22" s="17" t="str">
        <x:v>FT-018</x:v>
      </x:c>
      <x:c r="B22" s="17" t="str">
        <x:v>V1.0</x:v>
      </x:c>
      <x:c r="C22" s="17" t="str">
        <x:v>取消</x:v>
      </x:c>
      <x:c r="D22" s="17" t="str">
        <x:v>跨上海时区午夜</x:v>
      </x:c>
      <x:c r="E22" s="17" t="str">
        <x:v>前一自然日已取消</x:v>
      </x:c>
      <x:c r="F22" s="17" t="str">
        <x:v>次日满足条件时取消</x:v>
      </x:c>
      <x:c r="G22" s="17" t="str">
        <x:v>使用新日额度，允许</x:v>
      </x:c>
      <x:c r="H22" s="17" t="str">
        <x:v>P0</x:v>
      </x:c>
      <x:c r="I22" s="17" t="str">
        <x:v>边界</x:v>
      </x:c>
      <x:c r="J22" s="17" t="str">
        <x:v>未执行</x:v>
      </x:c>
      <x:c r="K22" s="17" t="str"/>
      <x:c r="L22" s="17" t="str"/>
    </x:row>
    <x:row r="23" ht="44" customHeight="1">
      <x:c r="A23" s="19" t="str">
        <x:v>FT-019</x:v>
      </x:c>
      <x:c r="B23" s="19" t="str">
        <x:v>V1.0</x:v>
      </x:c>
      <x:c r="C23" s="19" t="str">
        <x:v>取消</x:v>
      </x:c>
      <x:c r="D23" s="19" t="str">
        <x:v>取消他人预约</x:v>
      </x:c>
      <x:c r="E23" s="19" t="str">
        <x:v>主播 A 登录</x:v>
      </x:c>
      <x:c r="F23" s="19" t="str">
        <x:v>提交主播 B 预约 ID</x:v>
      </x:c>
      <x:c r="G23" s="19" t="str">
        <x:v>403 FORBIDDEN 或 404 APPOINTMENT_NOT_FOUND，不泄露详情</x:v>
      </x:c>
      <x:c r="H23" s="19" t="str">
        <x:v>P0</x:v>
      </x:c>
      <x:c r="I23" s="19" t="str">
        <x:v>权限</x:v>
      </x:c>
      <x:c r="J23" s="19" t="str">
        <x:v>未执行</x:v>
      </x:c>
      <x:c r="K23" s="19" t="str"/>
      <x:c r="L23" s="19" t="str"/>
    </x:row>
    <x:row r="24" ht="44" customHeight="1">
      <x:c r="A24" s="17" t="str">
        <x:v>FT-020</x:v>
      </x:c>
      <x:c r="B24" s="17" t="str">
        <x:v>V1.0</x:v>
      </x:c>
      <x:c r="C24" s="17" t="str">
        <x:v>管理员</x:v>
      </x:c>
      <x:c r="D24" s="17" t="str">
        <x:v>合法修改</x:v>
      </x:c>
      <x:c r="E24" s="17" t="str">
        <x:v>距开始大于 5 分钟</x:v>
      </x:c>
      <x:c r="F24" s="17" t="str">
        <x:v>修改老师/时间/团队并填写原因</x:v>
      </x:c>
      <x:c r="G24" s="17" t="str">
        <x:v>成功，硬约束重检且审计前后值</x:v>
      </x:c>
      <x:c r="H24" s="17" t="str">
        <x:v>P0</x:v>
      </x:c>
      <x:c r="I24" s="17" t="str">
        <x:v>正向</x:v>
      </x:c>
      <x:c r="J24" s="17" t="str">
        <x:v>未执行</x:v>
      </x:c>
      <x:c r="K24" s="17" t="str"/>
      <x:c r="L24" s="17" t="str"/>
    </x:row>
    <x:row r="25" ht="44" customHeight="1">
      <x:c r="A25" s="18" t="str">
        <x:v>FT-021</x:v>
      </x:c>
      <x:c r="B25" s="18" t="str">
        <x:v>V1.0</x:v>
      </x:c>
      <x:c r="C25" s="18" t="str">
        <x:v>管理员</x:v>
      </x:c>
      <x:c r="D25" s="18" t="str">
        <x:v>修改造成冲突</x:v>
      </x:c>
      <x:c r="E25" s="18" t="str">
        <x:v>目标老师时段已占用</x:v>
      </x:c>
      <x:c r="F25" s="18" t="str">
        <x:v>提交修改</x:v>
      </x:c>
      <x:c r="G25" s="18" t="str">
        <x:v>409 TEACHER_SLOT_CONFLICT，不能强制覆盖</x:v>
      </x:c>
      <x:c r="H25" s="18" t="str">
        <x:v>P0</x:v>
      </x:c>
      <x:c r="I25" s="18" t="str">
        <x:v>反向</x:v>
      </x:c>
      <x:c r="J25" s="18" t="str">
        <x:v>未执行</x:v>
      </x:c>
      <x:c r="K25" s="18" t="str"/>
      <x:c r="L25" s="18" t="str"/>
    </x:row>
    <x:row r="26" ht="44" customHeight="1">
      <x:c r="A26" s="17" t="str">
        <x:v>FT-022</x:v>
      </x:c>
      <x:c r="B26" s="17" t="str">
        <x:v>V1.0</x:v>
      </x:c>
      <x:c r="C26" s="17" t="str">
        <x:v>管理员</x:v>
      </x:c>
      <x:c r="D26" s="17" t="str">
        <x:v>恰好距开始 5 分钟</x:v>
      </x:c>
      <x:c r="E26" s="17" t="str">
        <x:v>固定服务端时间</x:v>
      </x:c>
      <x:c r="F26" s="17" t="str">
        <x:v>修改或取消</x:v>
      </x:c>
      <x:c r="G26" s="17" t="str">
        <x:v>422 OPERATION_CUTOFF_PASSED</x:v>
      </x:c>
      <x:c r="H26" s="17" t="str">
        <x:v>P0</x:v>
      </x:c>
      <x:c r="I26" s="17" t="str">
        <x:v>边界</x:v>
      </x:c>
      <x:c r="J26" s="17" t="str">
        <x:v>未执行</x:v>
      </x:c>
      <x:c r="K26" s="17" t="str"/>
      <x:c r="L26" s="17" t="str"/>
    </x:row>
    <x:row r="27" ht="44" customHeight="1">
      <x:c r="A27" s="19" t="str">
        <x:v>FT-023</x:v>
      </x:c>
      <x:c r="B27" s="19" t="str">
        <x:v>V1.0</x:v>
      </x:c>
      <x:c r="C27" s="19" t="str">
        <x:v>管理员</x:v>
      </x:c>
      <x:c r="D27" s="19" t="str">
        <x:v>作废已取消记录</x:v>
      </x:c>
      <x:c r="E27" s="19" t="str">
        <x:v>预约 CANCELLED</x:v>
      </x:c>
      <x:c r="F27" s="19" t="str">
        <x:v>填写原因并作废</x:v>
      </x:c>
      <x:c r="G27" s="19" t="str">
        <x:v>VOIDED，保留历史并释放预约日期资格</x:v>
      </x:c>
      <x:c r="H27" s="19" t="str">
        <x:v>P0</x:v>
      </x:c>
      <x:c r="I27" s="19" t="str">
        <x:v>纠错</x:v>
      </x:c>
      <x:c r="J27" s="19" t="str">
        <x:v>未执行</x:v>
      </x:c>
      <x:c r="K27" s="19" t="str"/>
      <x:c r="L27" s="19" t="str"/>
    </x:row>
    <x:row r="28" ht="44" customHeight="1">
      <x:c r="A28" s="17" t="str">
        <x:v>FT-024</x:v>
      </x:c>
      <x:c r="B28" s="17" t="str">
        <x:v>V1.0</x:v>
      </x:c>
      <x:c r="C28" s="17" t="str">
        <x:v>管理员</x:v>
      </x:c>
      <x:c r="D28" s="17" t="str">
        <x:v>管理员代取消</x:v>
      </x:c>
      <x:c r="E28" s="17" t="str">
        <x:v>主播当天尚未取消</x:v>
      </x:c>
      <x:c r="F28" s="17" t="str">
        <x:v>管理员取消并填写原因</x:v>
      </x:c>
      <x:c r="G28" s="17" t="str">
        <x:v>成功且不写主播取消日账本</x:v>
      </x:c>
      <x:c r="H28" s="17" t="str">
        <x:v>P0</x:v>
      </x:c>
      <x:c r="I28" s="17" t="str">
        <x:v>规则</x:v>
      </x:c>
      <x:c r="J28" s="17" t="str">
        <x:v>未执行</x:v>
      </x:c>
      <x:c r="K28" s="17" t="str"/>
      <x:c r="L28" s="17" t="str"/>
    </x:row>
    <x:row r="29" ht="44" customHeight="1">
      <x:c r="A29" s="18" t="str">
        <x:v>FT-025</x:v>
      </x:c>
      <x:c r="B29" s="18" t="str">
        <x:v>V1.0</x:v>
      </x:c>
      <x:c r="C29" s="18" t="str">
        <x:v>管理员</x:v>
      </x:c>
      <x:c r="D29" s="18" t="str">
        <x:v>停用最后管理员</x:v>
      </x:c>
      <x:c r="E29" s="18" t="str">
        <x:v>仅一名启用管理员</x:v>
      </x:c>
      <x:c r="F29" s="18" t="str">
        <x:v>停用该账号</x:v>
      </x:c>
      <x:c r="G29" s="18" t="str">
        <x:v>409 LAST_ADMIN_REQUIRED</x:v>
      </x:c>
      <x:c r="H29" s="18" t="str">
        <x:v>P0</x:v>
      </x:c>
      <x:c r="I29" s="18" t="str">
        <x:v>权限</x:v>
      </x:c>
      <x:c r="J29" s="18" t="str">
        <x:v>未执行</x:v>
      </x:c>
      <x:c r="K29" s="18" t="str"/>
      <x:c r="L29" s="18" t="str"/>
    </x:row>
    <x:row r="30" ht="44" customHeight="1">
      <x:c r="A30" s="17" t="str">
        <x:v>FT-026</x:v>
      </x:c>
      <x:c r="B30" s="17" t="str">
        <x:v>V1.0</x:v>
      </x:c>
      <x:c r="C30" s="17" t="str">
        <x:v>管理员</x:v>
      </x:c>
      <x:c r="D30" s="17" t="str">
        <x:v>并发停用管理员</x:v>
      </x:c>
      <x:c r="E30" s="17" t="str">
        <x:v>两名启用管理员</x:v>
      </x:c>
      <x:c r="F30" s="17" t="str">
        <x:v>两人并发互相停用</x:v>
      </x:c>
      <x:c r="G30" s="17" t="str">
        <x:v>最终至少一名启用，失败操作无部分写入</x:v>
      </x:c>
      <x:c r="H30" s="17" t="str">
        <x:v>P0</x:v>
      </x:c>
      <x:c r="I30" s="17" t="str">
        <x:v>并发</x:v>
      </x:c>
      <x:c r="J30" s="17" t="str">
        <x:v>未执行</x:v>
      </x:c>
      <x:c r="K30" s="17" t="str"/>
      <x:c r="L30" s="17" t="str"/>
    </x:row>
    <x:row r="31" ht="44" customHeight="1">
      <x:c r="A31" s="19" t="str">
        <x:v>FT-027</x:v>
      </x:c>
      <x:c r="B31" s="19" t="str">
        <x:v>V1.0</x:v>
      </x:c>
      <x:c r="C31" s="19" t="str">
        <x:v>系统</x:v>
      </x:c>
      <x:c r="D31" s="19" t="str">
        <x:v>系统关闭</x:v>
      </x:c>
      <x:c r="E31" s="19" t="str">
        <x:v>关闭写开关</x:v>
      </x:c>
      <x:c r="F31" s="19" t="str">
        <x:v>主播查看并尝试新建/取消</x:v>
      </x:c>
      <x:c r="G31" s="19" t="str">
        <x:v>查看成功；写操作返回 422 SYSTEM_WRITE_DISABLED</x:v>
      </x:c>
      <x:c r="H31" s="19" t="str">
        <x:v>P0</x:v>
      </x:c>
      <x:c r="I31" s="19" t="str">
        <x:v>规则</x:v>
      </x:c>
      <x:c r="J31" s="19" t="str">
        <x:v>未执行</x:v>
      </x:c>
      <x:c r="K31" s="19" t="str"/>
      <x:c r="L31" s="19" t="str"/>
    </x:row>
    <x:row r="32" ht="44" customHeight="1">
      <x:c r="A32" s="17" t="str">
        <x:v>FT-028</x:v>
      </x:c>
      <x:c r="B32" s="17" t="str">
        <x:v>V1.0</x:v>
      </x:c>
      <x:c r="C32" s="17" t="str">
        <x:v>系统</x:v>
      </x:c>
      <x:c r="D32" s="17" t="str">
        <x:v>系统关闭时管理员写操作</x:v>
      </x:c>
      <x:c r="E32" s="17" t="str">
        <x:v>关闭写开关</x:v>
      </x:c>
      <x:c r="F32" s="17" t="str">
        <x:v>管理员代预约</x:v>
      </x:c>
      <x:c r="G32" s="17" t="str">
        <x:v>仍可操作但硬约束不变</x:v>
      </x:c>
      <x:c r="H32" s="17" t="str">
        <x:v>P1</x:v>
      </x:c>
      <x:c r="I32" s="17" t="str">
        <x:v>规则</x:v>
      </x:c>
      <x:c r="J32" s="17" t="str">
        <x:v>未执行</x:v>
      </x:c>
      <x:c r="K32" s="17" t="str"/>
      <x:c r="L32" s="17" t="str"/>
    </x:row>
    <x:row r="33" ht="44" customHeight="1">
      <x:c r="A33" s="18" t="str">
        <x:v>FT-029</x:v>
      </x:c>
      <x:c r="B33" s="18" t="str">
        <x:v>V1.0</x:v>
      </x:c>
      <x:c r="C33" s="18" t="str">
        <x:v>历史</x:v>
      </x:c>
      <x:c r="D33" s="18" t="str">
        <x:v>老师团队停用后历史展示</x:v>
      </x:c>
      <x:c r="E33" s="18" t="str">
        <x:v>预约已保存快照</x:v>
      </x:c>
      <x:c r="F33" s="18" t="str">
        <x:v>停用并改名后查看历史</x:v>
      </x:c>
      <x:c r="G33" s="18" t="str">
        <x:v>显示预约时名称快照</x:v>
      </x:c>
      <x:c r="H33" s="18" t="str">
        <x:v>P1</x:v>
      </x:c>
      <x:c r="I33" s="18" t="str">
        <x:v>数据</x:v>
      </x:c>
      <x:c r="J33" s="18" t="str">
        <x:v>未执行</x:v>
      </x:c>
      <x:c r="K33" s="18" t="str"/>
      <x:c r="L33" s="18" t="str"/>
    </x:row>
    <x:row r="34" ht="44" customHeight="1">
      <x:c r="A34" s="17" t="str">
        <x:v>FT-030</x:v>
      </x:c>
      <x:c r="B34" s="17" t="str">
        <x:v>V1.0</x:v>
      </x:c>
      <x:c r="C34" s="17" t="str">
        <x:v>范围</x:v>
      </x:c>
      <x:c r="D34" s="17" t="str">
        <x:v>无调换与主播修改入口</x:v>
      </x:c>
      <x:c r="E34" s="17" t="str">
        <x:v>任意角色</x:v>
      </x:c>
      <x:c r="F34" s="17" t="str">
        <x:v>检查 UI 与 API 路由</x:v>
      </x:c>
      <x:c r="G34" s="17" t="str">
        <x:v>首版不存在半成品入口和可调用路由</x:v>
      </x:c>
      <x:c r="H34" s="17" t="str">
        <x:v>P1</x:v>
      </x:c>
      <x:c r="I34" s="17" t="str">
        <x:v>范围</x:v>
      </x:c>
      <x:c r="J34" s="17" t="str">
        <x:v>未执行</x:v>
      </x:c>
      <x:c r="K34" s="17" t="str"/>
      <x:c r="L34" s="17" t="str"/>
    </x:row>
    <x:row r="35" ht="44" customHeight="1">
      <x:c r="A35" s="19" t="str">
        <x:v>FT-031</x:v>
      </x:c>
      <x:c r="B35" s="19" t="str">
        <x:v>V1.0</x:v>
      </x:c>
      <x:c r="C35" s="19" t="str">
        <x:v>预约</x:v>
      </x:c>
      <x:c r="D35" s="19" t="str">
        <x:v>非法预约日期</x:v>
      </x:c>
      <x:c r="E35" s="19" t="str">
        <x:v>主播身份</x:v>
      </x:c>
      <x:c r="F35" s="19" t="str">
        <x:v>分别提交昨天和后天日期</x:v>
      </x:c>
      <x:c r="G35" s="19" t="str">
        <x:v>422 BOOKING_DATE_NOT_ALLOWED，不落库</x:v>
      </x:c>
      <x:c r="H35" s="19" t="str">
        <x:v>P0</x:v>
      </x:c>
      <x:c r="I35" s="19" t="str">
        <x:v>边界</x:v>
      </x:c>
      <x:c r="J35" s="19" t="str">
        <x:v>未执行</x:v>
      </x:c>
      <x:c r="K35" s="19" t="str"/>
      <x:c r="L35" s="19" t="str"/>
    </x:row>
    <x:row r="36" ht="44" customHeight="1">
      <x:c r="A36" s="17" t="str">
        <x:v>FT-032</x:v>
      </x:c>
      <x:c r="B36" s="17" t="str">
        <x:v>V1.0</x:v>
      </x:c>
      <x:c r="C36" s="17" t="str">
        <x:v>老师</x:v>
      </x:c>
      <x:c r="D36" s="17" t="str">
        <x:v>非法上下班时间</x:v>
      </x:c>
      <x:c r="E36" s="17" t="str">
        <x:v>管理员身份</x:v>
      </x:c>
      <x:c r="F36" s="17" t="str">
        <x:v>提交 workEnd &lt;= workStart</x:v>
      </x:c>
      <x:c r="G36" s="17" t="str">
        <x:v>422 TEACHER_WORK_TIME_INVALID，不保存</x:v>
      </x:c>
      <x:c r="H36" s="17" t="str">
        <x:v>P0</x:v>
      </x:c>
      <x:c r="I36" s="17" t="str">
        <x:v>校验</x:v>
      </x:c>
      <x:c r="J36" s="17" t="str">
        <x:v>未执行</x:v>
      </x:c>
      <x:c r="K36" s="17" t="str"/>
      <x:c r="L36" s="17" t="str"/>
    </x:row>
    <x:row r="37" ht="44" customHeight="1">
      <x:c r="A37" s="18" t="str">
        <x:v>FT-033</x:v>
      </x:c>
      <x:c r="B37" s="18" t="str">
        <x:v>V1.0</x:v>
      </x:c>
      <x:c r="C37" s="18" t="str">
        <x:v>资源</x:v>
      </x:c>
      <x:c r="D37" s="18" t="str">
        <x:v>老师停用首次确认</x:v>
      </x:c>
      <x:c r="E37" s="18" t="str">
        <x:v>老师有 N 条未来 ACTIVE 预约</x:v>
      </x:c>
      <x:c r="F37" s="18" t="str">
        <x:v>不带 confirmed 或为 false</x:v>
      </x:c>
      <x:c r="G37" s="18" t="str">
        <x:v>409 FUTURE_APPOINTMENTS_CONFIRM_REQUIRED，返回 N 且状态不变</x:v>
      </x:c>
      <x:c r="H37" s="18" t="str">
        <x:v>P0</x:v>
      </x:c>
      <x:c r="I37" s="18" t="str">
        <x:v>流程</x:v>
      </x:c>
      <x:c r="J37" s="18" t="str">
        <x:v>未执行</x:v>
      </x:c>
      <x:c r="K37" s="18" t="str"/>
      <x:c r="L37" s="18" t="str"/>
    </x:row>
    <x:row r="38" ht="44" customHeight="1">
      <x:c r="A38" s="17" t="str">
        <x:v>FT-034</x:v>
      </x:c>
      <x:c r="B38" s="17" t="str">
        <x:v>V1.0</x:v>
      </x:c>
      <x:c r="C38" s="17" t="str">
        <x:v>资源</x:v>
      </x:c>
      <x:c r="D38" s="17" t="str">
        <x:v>老师停用二次确认</x:v>
      </x:c>
      <x:c r="E38" s="17" t="str">
        <x:v>老师有未来 ACTIVE 预约</x:v>
      </x:c>
      <x:c r="F38" s="17" t="str">
        <x:v>带 confirmed=true 和最新 version</x:v>
      </x:c>
      <x:c r="G38" s="17" t="str">
        <x:v>重新计数后停用；已有预约不取消</x:v>
      </x:c>
      <x:c r="H38" s="17" t="str">
        <x:v>P0</x:v>
      </x:c>
      <x:c r="I38" s="17" t="str">
        <x:v>流程</x:v>
      </x:c>
      <x:c r="J38" s="17" t="str">
        <x:v>未执行</x:v>
      </x:c>
      <x:c r="K38" s="17" t="str"/>
      <x:c r="L38" s="17" t="str"/>
    </x:row>
    <x:row r="39" ht="44" customHeight="1">
      <x:c r="A39" s="19" t="str">
        <x:v>FT-035</x:v>
      </x:c>
      <x:c r="B39" s="19" t="str">
        <x:v>V1.0</x:v>
      </x:c>
      <x:c r="C39" s="19" t="str">
        <x:v>资源</x:v>
      </x:c>
      <x:c r="D39" s="19" t="str">
        <x:v>团队停用确认</x:v>
      </x:c>
      <x:c r="E39" s="19" t="str">
        <x:v>团队有未来 ACTIVE 预约</x:v>
      </x:c>
      <x:c r="F39" s="19" t="str">
        <x:v>先不确认再确认</x:v>
      </x:c>
      <x:c r="G39" s="19" t="str">
        <x:v>首次409并返回数量；确认后停用且历史保留</x:v>
      </x:c>
      <x:c r="H39" s="19" t="str">
        <x:v>P0</x:v>
      </x:c>
      <x:c r="I39" s="19" t="str">
        <x:v>流程</x:v>
      </x:c>
      <x:c r="J39" s="19" t="str">
        <x:v>未执行</x:v>
      </x:c>
      <x:c r="K39" s="19" t="str"/>
      <x:c r="L39" s="19" t="str"/>
    </x:row>
  </x:sheetData>
  <x:mergeCells>
    <x:mergeCell ref="A1:L1"/>
    <x:mergeCell ref="A2:L2"/>
  </x:mergeCells>
  <x:conditionalFormatting sqref="J5:J39">
    <x:cfRule type="containsText" dxfId="3" priority="1" operator="containsText" text="通过"/>
    <x:cfRule type="containsText" dxfId="4" priority="2" operator="containsText" text="失败"/>
    <x:cfRule type="containsText" dxfId="5" priority="3" operator="containsText" text="阻塞"/>
  </x:conditionalFormatting>
  <x:dataValidations count="1">
    <x:dataValidation type="list" sqref="J5:J39">
      <x:formula1>"未执行,通过,失败,阻塞,不适用"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9" hidden="0" customWidth="1"/>
    <x:col min="3" max="3" width="17" hidden="0" customWidth="1"/>
    <x:col min="4" max="4" width="24" hidden="0" customWidth="1"/>
    <x:col min="5" max="5" width="34" hidden="0" customWidth="1"/>
    <x:col min="6" max="6" width="48" hidden="0" customWidth="1"/>
    <x:col min="7" max="7" width="10" hidden="0" customWidth="1"/>
    <x:col min="8" max="8" width="12" hidden="0" customWidth="1"/>
    <x:col min="9" max="9" width="12" hidden="0" customWidth="1"/>
    <x:col min="10" max="10" width="24" hidden="0" customWidth="1"/>
  </x:cols>
  <x:sheetData>
    <x:row r="1" ht="30" customHeight="1">
      <x:c r="A1" s="3" t="str">
        <x:v>加贝云 V1.0｜接口与可靠性测试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基于第三方接口契约 DT-01～DT-05、MD-01～MD-03，并覆盖数据库最终约束与门禁多候选。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3" t="str">
        <x:v>ID</x:v>
      </x:c>
      <x:c r="B4" s="13" t="str">
        <x:v>版本</x:v>
      </x:c>
      <x:c r="C4" s="13" t="str">
        <x:v>平台/模块</x:v>
      </x:c>
      <x:c r="D4" s="13" t="str">
        <x:v>场景</x:v>
      </x:c>
      <x:c r="E4" s="13" t="str">
        <x:v>输入/故障</x:v>
      </x:c>
      <x:c r="F4" s="13" t="str">
        <x:v>预期结果</x:v>
      </x:c>
      <x:c r="G4" s="13" t="str">
        <x:v>优先级</x:v>
      </x:c>
      <x:c r="H4" s="13" t="str">
        <x:v>类型</x:v>
      </x:c>
      <x:c r="I4" s="13" t="str">
        <x:v>状态</x:v>
      </x:c>
      <x:c r="J4" s="13" t="str">
        <x:v>备注</x:v>
      </x:c>
    </x:row>
    <x:row r="5" ht="44" customHeight="1">
      <x:c r="A5" s="18" t="str">
        <x:v>IT-001</x:v>
      </x:c>
      <x:c r="B5" s="18" t="str">
        <x:v>V1.0</x:v>
      </x:c>
      <x:c r="C5" s="18" t="str">
        <x:v>钉钉免登</x:v>
      </x:c>
      <x:c r="D5" s="18" t="str">
        <x:v>有效 authCode</x:v>
      </x:c>
      <x:c r="E5" s="18" t="str">
        <x:v>DT-01/DT-03 正常响应</x:v>
      </x:c>
      <x:c r="F5" s="18" t="str">
        <x:v>建立本地会话，不向前端暴露 accessToken</x:v>
      </x:c>
      <x:c r="G5" s="18" t="str">
        <x:v>P0</x:v>
      </x:c>
      <x:c r="H5" s="18" t="str">
        <x:v>契约</x:v>
      </x:c>
      <x:c r="I5" s="18" t="str">
        <x:v>未执行</x:v>
      </x:c>
      <x:c r="J5" s="18" t="str"/>
    </x:row>
    <x:row r="6" ht="44" customHeight="1">
      <x:c r="A6" s="17" t="str">
        <x:v>IT-002</x:v>
      </x:c>
      <x:c r="B6" s="17" t="str">
        <x:v>V1.0</x:v>
      </x:c>
      <x:c r="C6" s="17" t="str">
        <x:v>钉钉 Token</x:v>
      </x:c>
      <x:c r="D6" s="17" t="str">
        <x:v>并发刷新</x:v>
      </x:c>
      <x:c r="E6" s="17" t="str">
        <x:v>多个请求同时发现 Token 即将过期</x:v>
      </x:c>
      <x:c r="F6" s="17" t="str">
        <x:v>single-flight 只发一次 DT-02，缓存复用</x:v>
      </x:c>
      <x:c r="G6" s="17" t="str">
        <x:v>P0</x:v>
      </x:c>
      <x:c r="H6" s="17" t="str">
        <x:v>可靠性</x:v>
      </x:c>
      <x:c r="I6" s="17" t="str">
        <x:v>未执行</x:v>
      </x:c>
      <x:c r="J6" s="17" t="str"/>
    </x:row>
    <x:row r="7" ht="44" customHeight="1">
      <x:c r="A7" s="19" t="str">
        <x:v>IT-003</x:v>
      </x:c>
      <x:c r="B7" s="19" t="str">
        <x:v>V1.0</x:v>
      </x:c>
      <x:c r="C7" s="19" t="str">
        <x:v>钉钉 Token</x:v>
      </x:c>
      <x:c r="D7" s="19" t="str">
        <x:v>Token 失效</x:v>
      </x:c>
      <x:c r="E7" s="19" t="str">
        <x:v>下游明确返回失效码</x:v>
      </x:c>
      <x:c r="F7" s="19" t="str">
        <x:v>强制刷新一次并仅重放一次</x:v>
      </x:c>
      <x:c r="G7" s="19" t="str">
        <x:v>P0</x:v>
      </x:c>
      <x:c r="H7" s="19" t="str">
        <x:v>容错</x:v>
      </x:c>
      <x:c r="I7" s="19" t="str">
        <x:v>未执行</x:v>
      </x:c>
      <x:c r="J7" s="19" t="str"/>
    </x:row>
    <x:row r="8" ht="44" customHeight="1">
      <x:c r="A8" s="17" t="str">
        <x:v>IT-004</x:v>
      </x:c>
      <x:c r="B8" s="17" t="str">
        <x:v>V1.0</x:v>
      </x:c>
      <x:c r="C8" s="17" t="str">
        <x:v>卡片创建</x:v>
      </x:c>
      <x:c r="D8" s="17" t="str">
        <x:v>09:00 重复调度</x:v>
      </x:c>
      <x:c r="E8" s="17" t="str">
        <x:v>同群同日任务执行两次</x:v>
      </x:c>
      <x:c r="F8" s="17" t="str">
        <x:v>复用同一 outTrackId，群内仅一张当前卡片</x:v>
      </x:c>
      <x:c r="G8" s="17" t="str">
        <x:v>P0</x:v>
      </x:c>
      <x:c r="H8" s="17" t="str">
        <x:v>幂等</x:v>
      </x:c>
      <x:c r="I8" s="17" t="str">
        <x:v>未执行</x:v>
      </x:c>
      <x:c r="J8" s="17" t="str"/>
    </x:row>
    <x:row r="9" ht="44" customHeight="1">
      <x:c r="A9" s="18" t="str">
        <x:v>IT-005</x:v>
      </x:c>
      <x:c r="B9" s="18" t="str">
        <x:v>V1.0</x:v>
      </x:c>
      <x:c r="C9" s="18" t="str">
        <x:v>卡片更新</x:v>
      </x:c>
      <x:c r="D9" s="18" t="str">
        <x:v>连续业务变更</x:v>
      </x:c>
      <x:c r="E9" s="18" t="str">
        <x:v>刷新任务乱序执行</x:v>
      </x:c>
      <x:c r="F9" s="18" t="str">
        <x:v>delivered_version 不倒退，最终卡片内容最新</x:v>
      </x:c>
      <x:c r="G9" s="18" t="str">
        <x:v>P0</x:v>
      </x:c>
      <x:c r="H9" s="18" t="str">
        <x:v>并发</x:v>
      </x:c>
      <x:c r="I9" s="18" t="str">
        <x:v>未执行</x:v>
      </x:c>
      <x:c r="J9" s="18" t="str"/>
    </x:row>
    <x:row r="10" ht="44" customHeight="1">
      <x:c r="A10" s="17" t="str">
        <x:v>IT-006</x:v>
      </x:c>
      <x:c r="B10" s="17" t="str">
        <x:v>V1.0</x:v>
      </x:c>
      <x:c r="C10" s="17" t="str">
        <x:v>卡片私有区</x:v>
      </x:c>
      <x:c r="D10" s="17" t="str">
        <x:v>两名主播查看同一卡片</x:v>
      </x:c>
      <x:c r="E10" s="17" t="str">
        <x:v>DT-04/DT-05 包含各自 privateData</x:v>
      </x:c>
      <x:c r="F10" s="17" t="str">
        <x:v>公开区一致；每人只见本人预约</x:v>
      </x:c>
      <x:c r="G10" s="17" t="str">
        <x:v>P0</x:v>
      </x:c>
      <x:c r="H10" s="17" t="str">
        <x:v>隐私</x:v>
      </x:c>
      <x:c r="I10" s="17" t="str">
        <x:v>未执行</x:v>
      </x:c>
      <x:c r="J10" s="17" t="str"/>
    </x:row>
    <x:row r="11" ht="44" customHeight="1">
      <x:c r="A11" s="19" t="str">
        <x:v>IT-007</x:v>
      </x:c>
      <x:c r="B11" s="19" t="str">
        <x:v>V1.0</x:v>
      </x:c>
      <x:c r="C11" s="19" t="str">
        <x:v>外部超时</x:v>
      </x:c>
      <x:c r="D11" s="19" t="str">
        <x:v>卡片请求结果不确定</x:v>
      </x:c>
      <x:c r="E11" s="19" t="str">
        <x:v>模拟超时</x:v>
      </x:c>
      <x:c r="F11" s="19" t="str">
        <x:v>预约不回滚；以原 outTrackId 有限重试，不新建卡片</x:v>
      </x:c>
      <x:c r="G11" s="19" t="str">
        <x:v>P0</x:v>
      </x:c>
      <x:c r="H11" s="19" t="str">
        <x:v>容错</x:v>
      </x:c>
      <x:c r="I11" s="19" t="str">
        <x:v>未执行</x:v>
      </x:c>
      <x:c r="J11" s="19" t="str"/>
    </x:row>
    <x:row r="12" ht="44" customHeight="1">
      <x:c r="A12" s="17" t="str">
        <x:v>IT-008</x:v>
      </x:c>
      <x:c r="B12" s="17" t="str">
        <x:v>V1.0</x:v>
      </x:c>
      <x:c r="C12" s="17" t="str">
        <x:v>数据库</x:v>
      </x:c>
      <x:c r="D12" s="17" t="str">
        <x:v>创建幂等</x:v>
      </x:c>
      <x:c r="E12" s="17" t="str">
        <x:v>50 个请求使用同一幂等键</x:v>
      </x:c>
      <x:c r="F12" s="17" t="str">
        <x:v>仅一条预约，响应引用同一 ID</x:v>
      </x:c>
      <x:c r="G12" s="17" t="str">
        <x:v>P0</x:v>
      </x:c>
      <x:c r="H12" s="17" t="str">
        <x:v>并发</x:v>
      </x:c>
      <x:c r="I12" s="17" t="str">
        <x:v>未执行</x:v>
      </x:c>
      <x:c r="J12" s="17" t="str"/>
    </x:row>
    <x:row r="13" ht="44" customHeight="1">
      <x:c r="A13" s="18" t="str">
        <x:v>IT-009</x:v>
      </x:c>
      <x:c r="B13" s="18" t="str">
        <x:v>V1.0</x:v>
      </x:c>
      <x:c r="C13" s="18" t="str">
        <x:v>数据库</x:v>
      </x:c>
      <x:c r="D13" s="18" t="str">
        <x:v>主播同日并发创建</x:v>
      </x:c>
      <x:c r="E13" s="18" t="str">
        <x:v>两个不同幂等键</x:v>
      </x:c>
      <x:c r="F13" s="18" t="str">
        <x:v>一个成功，一个 DAILY_APPOINTMENT_EXISTS</x:v>
      </x:c>
      <x:c r="G13" s="18" t="str">
        <x:v>P0</x:v>
      </x:c>
      <x:c r="H13" s="18" t="str">
        <x:v>并发</x:v>
      </x:c>
      <x:c r="I13" s="18" t="str">
        <x:v>未执行</x:v>
      </x:c>
      <x:c r="J13" s="18" t="str"/>
    </x:row>
    <x:row r="14" ht="44" customHeight="1">
      <x:c r="A14" s="17" t="str">
        <x:v>IT-010</x:v>
      </x:c>
      <x:c r="B14" s="17" t="str">
        <x:v>V1.0</x:v>
      </x:c>
      <x:c r="C14" s="17" t="str">
        <x:v>数据库</x:v>
      </x:c>
      <x:c r="D14" s="17" t="str">
        <x:v>老师重叠并发</x:v>
      </x:c>
      <x:c r="E14" s="17" t="str">
        <x:v>两主播同时提交同一老师重叠区间</x:v>
      </x:c>
      <x:c r="F14" s="17" t="str">
        <x:v>排斥约束只允许一个成功</x:v>
      </x:c>
      <x:c r="G14" s="17" t="str">
        <x:v>P0</x:v>
      </x:c>
      <x:c r="H14" s="17" t="str">
        <x:v>并发</x:v>
      </x:c>
      <x:c r="I14" s="17" t="str">
        <x:v>未执行</x:v>
      </x:c>
      <x:c r="J14" s="17" t="str"/>
    </x:row>
    <x:row r="15" ht="44" customHeight="1">
      <x:c r="A15" s="19" t="str">
        <x:v>IT-011</x:v>
      </x:c>
      <x:c r="B15" s="19" t="str">
        <x:v>V1.0</x:v>
      </x:c>
      <x:c r="C15" s="19" t="str">
        <x:v>数据库</x:v>
      </x:c>
      <x:c r="D15" s="19" t="str">
        <x:v>取消账本并发</x:v>
      </x:c>
      <x:c r="E15" s="19" t="str">
        <x:v>同主播并发取消两个预约日期</x:v>
      </x:c>
      <x:c r="F15" s="19" t="str">
        <x:v>只有一个事务成功，失败预约仍为 ACTIVE</x:v>
      </x:c>
      <x:c r="G15" s="19" t="str">
        <x:v>P0</x:v>
      </x:c>
      <x:c r="H15" s="19" t="str">
        <x:v>并发</x:v>
      </x:c>
      <x:c r="I15" s="19" t="str">
        <x:v>未执行</x:v>
      </x:c>
      <x:c r="J15" s="19" t="str"/>
    </x:row>
    <x:row r="16" ht="44" customHeight="1">
      <x:c r="A16" s="17" t="str">
        <x:v>IT-012</x:v>
      </x:c>
      <x:c r="B16" s="17" t="str">
        <x:v>V1.0</x:v>
      </x:c>
      <x:c r="C16" s="17" t="str">
        <x:v>发件箱</x:v>
      </x:c>
      <x:c r="D16" s="17" t="str">
        <x:v>数据库成功后钉钉暂不可用</x:v>
      </x:c>
      <x:c r="E16" s="17" t="str">
        <x:v>外部接口连续 5xx</x:v>
      </x:c>
      <x:c r="F16" s="17" t="str">
        <x:v>核心业务成功；任务指数退避并可人工重放</x:v>
      </x:c>
      <x:c r="G16" s="17" t="str">
        <x:v>P0</x:v>
      </x:c>
      <x:c r="H16" s="17" t="str">
        <x:v>容错</x:v>
      </x:c>
      <x:c r="I16" s="17" t="str">
        <x:v>未执行</x:v>
      </x:c>
      <x:c r="J16" s="17" t="str"/>
    </x:row>
    <x:row r="17" ht="44" customHeight="1">
      <x:c r="A17" s="18" t="str">
        <x:v>IT-101</x:v>
      </x:c>
      <x:c r="B17" s="18" t="str">
        <x:v>V1.1</x:v>
      </x:c>
      <x:c r="C17" s="18" t="str">
        <x:v>魔点 Token</x:v>
      </x:c>
      <x:c r="D17" s="18" t="str">
        <x:v>企业直连鉴权</x:v>
      </x:c>
      <x:c r="E17" s="18" t="str">
        <x:v>调用 MD-01</x:v>
      </x:c>
      <x:c r="F17" s="18" t="str">
        <x:v>使用 orgId/orgAuthKey，不调用 appToken；Token 缓存脱敏</x:v>
      </x:c>
      <x:c r="G17" s="18" t="str">
        <x:v>P0</x:v>
      </x:c>
      <x:c r="H17" s="18" t="str">
        <x:v>契约</x:v>
      </x:c>
      <x:c r="I17" s="18" t="str">
        <x:v>未执行</x:v>
      </x:c>
      <x:c r="J17" s="18" t="str"/>
    </x:row>
    <x:row r="18" ht="44" customHeight="1">
      <x:c r="A18" s="17" t="str">
        <x:v>IT-102</x:v>
      </x:c>
      <x:c r="B18" s="17" t="str">
        <x:v>V1.1</x:v>
      </x:c>
      <x:c r="C18" s="17" t="str">
        <x:v>魔点注册</x:v>
      </x:c>
      <x:c r="D18" s="17" t="str">
        <x:v>注册识别回调</x:v>
      </x:c>
      <x:c r="E18" s="17" t="str">
        <x:v>MD-02 注册 REC_SUCCESS 与 HTTPS 地址</x:v>
      </x:c>
      <x:c r="F18" s="17" t="str">
        <x:v>注册成功且部署记录可追踪</x:v>
      </x:c>
      <x:c r="G18" s="17" t="str">
        <x:v>P0</x:v>
      </x:c>
      <x:c r="H18" s="17" t="str">
        <x:v>契约</x:v>
      </x:c>
      <x:c r="I18" s="17" t="str">
        <x:v>未执行</x:v>
      </x:c>
      <x:c r="J18" s="17" t="str"/>
    </x:row>
    <x:row r="19" ht="44" customHeight="1">
      <x:c r="A19" s="19" t="str">
        <x:v>IT-103</x:v>
      </x:c>
      <x:c r="B19" s="19" t="str">
        <x:v>V1.1</x:v>
      </x:c>
      <x:c r="C19" s="19" t="str">
        <x:v>魔点回调</x:v>
      </x:c>
      <x:c r="D19" s="19" t="str">
        <x:v>重复回调 11 次</x:v>
      </x:c>
      <x:c r="E19" s="19" t="str">
        <x:v>完全相同事件</x:v>
      </x:c>
      <x:c r="F19" s="19" t="str">
        <x:v>仅一条 gate_event 和 arrival_record，均返回成功</x:v>
      </x:c>
      <x:c r="G19" s="19" t="str">
        <x:v>P0</x:v>
      </x:c>
      <x:c r="H19" s="19" t="str">
        <x:v>幂等</x:v>
      </x:c>
      <x:c r="I19" s="19" t="str">
        <x:v>未执行</x:v>
      </x:c>
      <x:c r="J19" s="19" t="str"/>
    </x:row>
    <x:row r="20" ht="44" customHeight="1">
      <x:c r="A20" s="17" t="str">
        <x:v>IT-104</x:v>
      </x:c>
      <x:c r="B20" s="17" t="str">
        <x:v>V1.1</x:v>
      </x:c>
      <x:c r="C20" s="17" t="str">
        <x:v>魔点回调</x:v>
      </x:c>
      <x:c r="D20" s="17" t="str">
        <x:v>错误签名</x:v>
      </x:c>
      <x:c r="E20" s="17" t="str">
        <x:v>篡改原始 Body</x:v>
      </x:c>
      <x:c r="F20" s="17" t="str">
        <x:v>401/403，不落业务事件</x:v>
      </x:c>
      <x:c r="G20" s="17" t="str">
        <x:v>P0</x:v>
      </x:c>
      <x:c r="H20" s="17" t="str">
        <x:v>安全</x:v>
      </x:c>
      <x:c r="I20" s="17" t="str">
        <x:v>未执行</x:v>
      </x:c>
      <x:c r="J20" s="17" t="str"/>
    </x:row>
    <x:row r="21" ht="44" customHeight="1">
      <x:c r="A21" s="18" t="str">
        <x:v>IT-105</x:v>
      </x:c>
      <x:c r="B21" s="18" t="str">
        <x:v>V1.1</x:v>
      </x:c>
      <x:c r="C21" s="18" t="str">
        <x:v>魔点回调</x:v>
      </x:c>
      <x:c r="D21" s="18" t="str">
        <x:v>非目标设备</x:v>
      </x:c>
      <x:c r="E21" s="18" t="str">
        <x:v>deviceSn 不匹配</x:v>
      </x:c>
      <x:c r="F21" s="18" t="str">
        <x:v>安全忽略并告警，不关联预约</x:v>
      </x:c>
      <x:c r="G21" s="18" t="str">
        <x:v>P0</x:v>
      </x:c>
      <x:c r="H21" s="18" t="str">
        <x:v>安全</x:v>
      </x:c>
      <x:c r="I21" s="18" t="str">
        <x:v>未执行</x:v>
      </x:c>
      <x:c r="J21" s="18" t="str"/>
    </x:row>
    <x:row r="22" ht="44" customHeight="1">
      <x:c r="A22" s="17" t="str">
        <x:v>IT-106</x:v>
      </x:c>
      <x:c r="B22" s="17" t="str">
        <x:v>V1.1</x:v>
      </x:c>
      <x:c r="C22" s="17" t="str">
        <x:v>事件匹配</x:v>
      </x:c>
      <x:c r="D22" s="17" t="str">
        <x:v>跨日回溯候选重叠</x:v>
      </x:c>
      <x:c r="E22" s="17" t="str">
        <x:v>一条门禁事件可命中两条候选预约</x:v>
      </x:c>
      <x:c r="F22" s="17" t="str">
        <x:v>先取最近已开始预约，否则取最近将开始预约；再按创建时间和ID排序；事件不可复用</x:v>
      </x:c>
      <x:c r="G22" s="17" t="str">
        <x:v>P0</x:v>
      </x:c>
      <x:c r="H22" s="17" t="str">
        <x:v>数据</x:v>
      </x:c>
      <x:c r="I22" s="17" t="str">
        <x:v>未执行</x:v>
      </x:c>
      <x:c r="J22" s="17" t="str"/>
    </x:row>
    <x:row r="23" ht="44" customHeight="1">
      <x:c r="A23" s="19" t="str">
        <x:v>IT-107</x:v>
      </x:c>
      <x:c r="B23" s="19" t="str">
        <x:v>V1.1</x:v>
      </x:c>
      <x:c r="C23" s="19" t="str">
        <x:v>迟到提醒</x:v>
      </x:c>
      <x:c r="D23" s="19" t="str">
        <x:v>任务重复扫描</x:v>
      </x:c>
      <x:c r="E23" s="19" t="str">
        <x:v>同一预约多次进入扫描</x:v>
      </x:c>
      <x:c r="F23" s="19" t="str">
        <x:v>唯一业务键保证只发送一张提醒卡</x:v>
      </x:c>
      <x:c r="G23" s="19" t="str">
        <x:v>P0</x:v>
      </x:c>
      <x:c r="H23" s="19" t="str">
        <x:v>幂等</x:v>
      </x:c>
      <x:c r="I23" s="19" t="str">
        <x:v>未执行</x:v>
      </x:c>
      <x:c r="J23" s="19" t="str"/>
    </x:row>
    <x:row r="24" ht="44" customHeight="1">
      <x:c r="A24" s="17" t="str">
        <x:v>IT-108</x:v>
      </x:c>
      <x:c r="B24" s="17" t="str">
        <x:v>V1.1</x:v>
      </x:c>
      <x:c r="C24" s="17" t="str">
        <x:v>回调语义</x:v>
      </x:c>
      <x:c r="D24" s="17" t="str">
        <x:v>应用级回调 URL 未配置</x:v>
      </x:c>
      <x:c r="E24" s="17" t="str">
        <x:v>MD-02 业务回调已正确注册</x:v>
      </x:c>
      <x:c r="F24" s="17" t="str">
        <x:v>REC_SUCCESS 识别链路正常，不依赖应用级回调</x:v>
      </x:c>
      <x:c r="G24" s="17" t="str">
        <x:v>P1</x:v>
      </x:c>
      <x:c r="H24" s="17" t="str">
        <x:v>契约</x:v>
      </x:c>
      <x:c r="I24" s="17" t="str">
        <x:v>未执行</x:v>
      </x:c>
      <x:c r="J24" s="17" t="str"/>
    </x:row>
    <x:row r="25" ht="44" customHeight="1">
      <x:c r="A25" s="18" t="str">
        <x:v>IT-109</x:v>
      </x:c>
      <x:c r="B25" s="18" t="str">
        <x:v>V1.1</x:v>
      </x:c>
      <x:c r="C25" s="18" t="str">
        <x:v>魔点回调</x:v>
      </x:c>
      <x:c r="D25" s="18" t="str">
        <x:v>正常单次回调</x:v>
      </x:c>
      <x:c r="E25" s="18" t="str">
        <x:v>正确签名、机构与目标设备</x:v>
      </x:c>
      <x:c r="F25" s="18" t="str">
        <x:v>事件和到司记录各一条，HTTP 200</x:v>
      </x:c>
      <x:c r="G25" s="18" t="str">
        <x:v>P0</x:v>
      </x:c>
      <x:c r="H25" s="18" t="str">
        <x:v>契约</x:v>
      </x:c>
      <x:c r="I25" s="18" t="str">
        <x:v>未执行</x:v>
      </x:c>
      <x:c r="J25" s="18" t="str"/>
    </x:row>
    <x:row r="26" ht="44" customHeight="1">
      <x:c r="A26" s="17" t="str">
        <x:v>IT-110</x:v>
      </x:c>
      <x:c r="B26" s="17" t="str">
        <x:v>V1.1</x:v>
      </x:c>
      <x:c r="C26" s="17" t="str">
        <x:v>事件匹配</x:v>
      </x:c>
      <x:c r="D26" s="17" t="str">
        <x:v>无匹配预约</x:v>
      </x:c>
      <x:c r="E26" s="17" t="str">
        <x:v>合法 memberId 但有效窗口内无 ACTIVE 预约</x:v>
      </x:c>
      <x:c r="F26" s="17" t="str">
        <x:v>保存 UNMATCHED 并返回 200，不要求平台重试</x:v>
      </x:c>
      <x:c r="G26" s="17" t="str">
        <x:v>P0</x:v>
      </x:c>
      <x:c r="H26" s="17" t="str">
        <x:v>数据</x:v>
      </x:c>
      <x:c r="I26" s="17" t="str">
        <x:v>未执行</x:v>
      </x:c>
      <x:c r="J26" s="17" t="str"/>
    </x:row>
    <x:row r="27" ht="44" customHeight="1">
      <x:c r="A27" s="19" t="str">
        <x:v>IT-111</x:v>
      </x:c>
      <x:c r="B27" s="19" t="str">
        <x:v>V1.1</x:v>
      </x:c>
      <x:c r="C27" s="19" t="str">
        <x:v>状态判定</x:v>
      </x:c>
      <x:c r="D27" s="19" t="str">
        <x:v>宽限前识别</x:v>
      </x:c>
      <x:c r="E27" s="19" t="str">
        <x:v>recognizedAt &lt;= startAt+10分钟</x:v>
      </x:c>
      <x:c r="F27" s="19" t="str">
        <x:v>ARRIVED，记录时间且不发迟到提醒</x:v>
      </x:c>
      <x:c r="G27" s="19" t="str">
        <x:v>P0</x:v>
      </x:c>
      <x:c r="H27" s="19" t="str">
        <x:v>边界</x:v>
      </x:c>
      <x:c r="I27" s="19" t="str">
        <x:v>未执行</x:v>
      </x:c>
      <x:c r="J27" s="19" t="str"/>
    </x:row>
    <x:row r="28" ht="44" customHeight="1">
      <x:c r="A28" s="17" t="str">
        <x:v>IT-112</x:v>
      </x:c>
      <x:c r="B28" s="17" t="str">
        <x:v>V1.1</x:v>
      </x:c>
      <x:c r="C28" s="17" t="str">
        <x:v>状态判定</x:v>
      </x:c>
      <x:c r="D28" s="17" t="str">
        <x:v>宽限后、结束前识别</x:v>
      </x:c>
      <x:c r="E28" s="17" t="str">
        <x:v>startAt+10分钟 &lt; recognizedAt &lt;= endAt</x:v>
      </x:c>
      <x:c r="F28" s="17" t="str">
        <x:v>LATE，迟到分钟正确且提醒不重复</x:v>
      </x:c>
      <x:c r="G28" s="17" t="str">
        <x:v>P0</x:v>
      </x:c>
      <x:c r="H28" s="17" t="str">
        <x:v>边界</x:v>
      </x:c>
      <x:c r="I28" s="17" t="str">
        <x:v>未执行</x:v>
      </x:c>
      <x:c r="J28" s="17" t="str"/>
    </x:row>
    <x:row r="29" ht="44" customHeight="1">
      <x:c r="A29" s="18" t="str">
        <x:v>IT-113</x:v>
      </x:c>
      <x:c r="B29" s="18" t="str">
        <x:v>V1.1</x:v>
      </x:c>
      <x:c r="C29" s="18" t="str">
        <x:v>回调验签</x:v>
      </x:c>
      <x:c r="D29" s="18" t="str">
        <x:v>原始 Body 变化</x:v>
      </x:c>
      <x:c r="E29" s="18" t="str">
        <x:v>JSON 字段顺序/空白不同并基于各自原文签名</x:v>
      </x:c>
      <x:c r="F29" s="18" t="str">
        <x:v>均按实际原始 Body 验签成功，不重序列化</x:v>
      </x:c>
      <x:c r="G29" s="18" t="str">
        <x:v>P0</x:v>
      </x:c>
      <x:c r="H29" s="18" t="str">
        <x:v>安全</x:v>
      </x:c>
      <x:c r="I29" s="18" t="str">
        <x:v>未执行</x:v>
      </x:c>
      <x:c r="J29" s="18" t="str"/>
    </x:row>
    <x:row r="30" ht="44" customHeight="1">
      <x:c r="A30" s="17" t="str">
        <x:v>IT-114</x:v>
      </x:c>
      <x:c r="B30" s="17" t="str">
        <x:v>V1.1</x:v>
      </x:c>
      <x:c r="C30" s="17" t="str">
        <x:v>回调兼容</x:v>
      </x:c>
      <x:c r="D30" s="17" t="str">
        <x:v>fileKey 可选</x:v>
      </x:c>
      <x:c r="E30" s="17" t="str">
        <x:v>分别发送包含和不包含 fileKey 的合法请求</x:v>
      </x:c>
      <x:c r="F30" s="17" t="str">
        <x:v>两种均正确解析；缺失时保存空值</x:v>
      </x:c>
      <x:c r="G30" s="17" t="str">
        <x:v>P1</x:v>
      </x:c>
      <x:c r="H30" s="17" t="str">
        <x:v>契约</x:v>
      </x:c>
      <x:c r="I30" s="17" t="str">
        <x:v>未执行</x:v>
      </x:c>
      <x:c r="J30" s="17" t="str"/>
    </x:row>
    <x:row r="31" ht="44" customHeight="1">
      <x:c r="A31" s="19" t="str">
        <x:v>IT-115</x:v>
      </x:c>
      <x:c r="B31" s="19" t="str">
        <x:v>V1.1</x:v>
      </x:c>
      <x:c r="C31" s="19" t="str">
        <x:v>回调重试</x:v>
      </x:c>
      <x:c r="D31" s="19" t="str">
        <x:v>首次数据库失败</x:v>
      </x:c>
      <x:c r="E31" s="19" t="str">
        <x:v>首次持久化失败，随后平台重推</x:v>
      </x:c>
      <x:c r="F31" s="19" t="str">
        <x:v>首次5xx；重试200且最终仅一条事件和到司记录</x:v>
      </x:c>
      <x:c r="G31" s="19" t="str">
        <x:v>P0</x:v>
      </x:c>
      <x:c r="H31" s="19" t="str">
        <x:v>容错</x:v>
      </x:c>
      <x:c r="I31" s="19" t="str">
        <x:v>未执行</x:v>
      </x:c>
      <x:c r="J31" s="19" t="str"/>
    </x:row>
    <x:row r="32" ht="44" customHeight="1">
      <x:c r="A32" s="17" t="str">
        <x:v>IT-116</x:v>
      </x:c>
      <x:c r="B32" s="17" t="str">
        <x:v>V1.1</x:v>
      </x:c>
      <x:c r="C32" s="17" t="str">
        <x:v>迟到提醒</x:v>
      </x:c>
      <x:c r="D32" s="17" t="str">
        <x:v>投放结果不确定</x:v>
      </x:c>
      <x:c r="E32" s="17" t="str">
        <x:v>DT-04超时后重试</x:v>
      </x:c>
      <x:c r="F32" s="17" t="str">
        <x:v>复用相同 outTrackId，群内最多一条提醒卡</x:v>
      </x:c>
      <x:c r="G32" s="17" t="str">
        <x:v>P0</x:v>
      </x:c>
      <x:c r="H32" s="17" t="str">
        <x:v>幂等</x:v>
      </x:c>
      <x:c r="I32" s="17" t="str">
        <x:v>未执行</x:v>
      </x:c>
      <x:c r="J32" s="17" t="str"/>
    </x:row>
    <x:row r="33" ht="44" customHeight="1">
      <x:c r="A33" s="18" t="str">
        <x:v>IT-117</x:v>
      </x:c>
      <x:c r="B33" s="18" t="str">
        <x:v>V1.1</x:v>
      </x:c>
      <x:c r="C33" s="18" t="str">
        <x:v>魔点回调</x:v>
      </x:c>
      <x:c r="D33" s="18" t="str">
        <x:v>错误机构</x:v>
      </x:c>
      <x:c r="E33" s="18" t="str">
        <x:v>orgId 与配置不一致</x:v>
      </x:c>
      <x:c r="F33" s="18" t="str">
        <x:v>安全忽略或受控拒绝并告警，不关联预约</x:v>
      </x:c>
      <x:c r="G33" s="18" t="str">
        <x:v>P0</x:v>
      </x:c>
      <x:c r="H33" s="18" t="str">
        <x:v>安全</x:v>
      </x:c>
      <x:c r="I33" s="18" t="str">
        <x:v>未执行</x:v>
      </x:c>
      <x:c r="J33" s="18" t="str"/>
    </x:row>
  </x:sheetData>
  <x:mergeCells>
    <x:mergeCell ref="A1:J1"/>
    <x:mergeCell ref="A2:J2"/>
  </x:mergeCells>
  <x:conditionalFormatting sqref="I5:I33">
    <x:cfRule type="containsText" dxfId="6" priority="1" operator="containsText" text="通过"/>
    <x:cfRule type="containsText" dxfId="7" priority="2" operator="containsText" text="失败"/>
    <x:cfRule type="containsText" dxfId="8" priority="3" operator="containsText" text="阻塞"/>
  </x:conditionalFormatting>
  <x:dataValidations count="1">
    <x:dataValidation type="list" sqref="I5:I33">
      <x:formula1>"未执行,通过,失败,阻塞,不适用"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9" hidden="0" customWidth="1"/>
    <x:col min="3" max="3" width="14" hidden="0" customWidth="1"/>
    <x:col min="4" max="4" width="24" hidden="0" customWidth="1"/>
    <x:col min="5" max="5" width="28" hidden="0" customWidth="1"/>
    <x:col min="6" max="6" width="32" hidden="0" customWidth="1"/>
    <x:col min="7" max="7" width="48" hidden="0" customWidth="1"/>
    <x:col min="8" max="8" width="10" hidden="0" customWidth="1"/>
    <x:col min="9" max="9" width="13" hidden="0" customWidth="1"/>
    <x:col min="10" max="10" width="12" hidden="0" customWidth="1"/>
    <x:col min="11" max="11" width="28" hidden="0" customWidth="1"/>
    <x:col min="12" max="12" width="14" hidden="0" customWidth="1"/>
  </x:cols>
  <x:sheetData>
    <x:row r="1" ht="30" customHeight="1">
      <x:c r="A1" s="3" t="str">
        <x:v>加贝云 V1.0｜安全测试用例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覆盖后端鉴权、IDOR、参数伪造、CSRF、Origin、会话重放、日志脱敏、回调与上传。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0" customHeight="1">
      <x:c r="A4" s="13" t="str">
        <x:v>ID</x:v>
      </x:c>
      <x:c r="B4" s="13" t="str">
        <x:v>版本</x:v>
      </x:c>
      <x:c r="C4" s="13" t="str">
        <x:v>模块</x:v>
      </x:c>
      <x:c r="D4" s="13" t="str">
        <x:v>场景</x:v>
      </x:c>
      <x:c r="E4" s="13" t="str">
        <x:v>前置条件</x:v>
      </x:c>
      <x:c r="F4" s="13" t="str">
        <x:v>步骤/输入</x:v>
      </x:c>
      <x:c r="G4" s="13" t="str">
        <x:v>预期结果</x:v>
      </x:c>
      <x:c r="H4" s="13" t="str">
        <x:v>优先级</x:v>
      </x:c>
      <x:c r="I4" s="13" t="str">
        <x:v>类别</x:v>
      </x:c>
      <x:c r="J4" s="13" t="str">
        <x:v>状态</x:v>
      </x:c>
      <x:c r="K4" s="13" t="str">
        <x:v>实际结果</x:v>
      </x:c>
      <x:c r="L4" s="13" t="str">
        <x:v>缺陷ID</x:v>
      </x:c>
    </x:row>
    <x:row r="5" ht="44" customHeight="1">
      <x:c r="A5" s="18" t="str">
        <x:v>SEC-001</x:v>
      </x:c>
      <x:c r="B5" s="18" t="str">
        <x:v>V1.0</x:v>
      </x:c>
      <x:c r="C5" s="18" t="str">
        <x:v>后端鉴权</x:v>
      </x:c>
      <x:c r="D5" s="18" t="str">
        <x:v>主播调用 /admin/**</x:v>
      </x:c>
      <x:c r="E5" s="18" t="str">
        <x:v>有效主播会话</x:v>
      </x:c>
      <x:c r="F5" s="18" t="str">
        <x:v>访问任一管理端读写接口</x:v>
      </x:c>
      <x:c r="G5" s="18" t="str">
        <x:v>403 FORBIDDEN，业务数据不变化</x:v>
      </x:c>
      <x:c r="H5" s="18" t="str">
        <x:v>P0</x:v>
      </x:c>
      <x:c r="I5" s="18" t="str">
        <x:v>权限</x:v>
      </x:c>
      <x:c r="J5" s="18" t="str">
        <x:v>未执行</x:v>
      </x:c>
      <x:c r="K5" s="18" t="str"/>
      <x:c r="L5" s="18" t="str"/>
    </x:row>
    <x:row r="6" ht="44" customHeight="1">
      <x:c r="A6" s="17" t="str">
        <x:v>SEC-002</x:v>
      </x:c>
      <x:c r="B6" s="17" t="str">
        <x:v>V1.0</x:v>
      </x:c>
      <x:c r="C6" s="17" t="str">
        <x:v>资源归属</x:v>
      </x:c>
      <x:c r="D6" s="17" t="str">
        <x:v>越权访问他人预约</x:v>
      </x:c>
      <x:c r="E6" s="17" t="str">
        <x:v>主播A会话、主播B预约ID</x:v>
      </x:c>
      <x:c r="F6" s="17" t="str">
        <x:v>查看详情并提交取消</x:v>
      </x:c>
      <x:c r="G6" s="17" t="str">
        <x:v>403 FORBIDDEN 或 404 APPOINTMENT_NOT_FOUND</x:v>
      </x:c>
      <x:c r="H6" s="17" t="str">
        <x:v>P0</x:v>
      </x:c>
      <x:c r="I6" s="17" t="str">
        <x:v>IDOR</x:v>
      </x:c>
      <x:c r="J6" s="17" t="str">
        <x:v>未执行</x:v>
      </x:c>
      <x:c r="K6" s="17" t="str"/>
      <x:c r="L6" s="17" t="str"/>
    </x:row>
    <x:row r="7" ht="44" customHeight="1">
      <x:c r="A7" s="19" t="str">
        <x:v>SEC-003</x:v>
      </x:c>
      <x:c r="B7" s="19" t="str">
        <x:v>V1.0</x:v>
      </x:c>
      <x:c r="C7" s="19" t="str">
        <x:v>身份可信</x:v>
      </x:c>
      <x:c r="D7" s="19" t="str">
        <x:v>伪造角色与用户字段</x:v>
      </x:c>
      <x:c r="E7" s="19" t="str">
        <x:v>主播会话</x:v>
      </x:c>
      <x:c r="F7" s="19" t="str">
        <x:v>请求体加入 ADMIN、他人userId和displayName</x:v>
      </x:c>
      <x:c r="G7" s="19" t="str">
        <x:v>服务端忽略伪造值，身份来自会话和数据库</x:v>
      </x:c>
      <x:c r="H7" s="19" t="str">
        <x:v>P0</x:v>
      </x:c>
      <x:c r="I7" s="19" t="str">
        <x:v>防篡改</x:v>
      </x:c>
      <x:c r="J7" s="19" t="str">
        <x:v>未执行</x:v>
      </x:c>
      <x:c r="K7" s="19" t="str"/>
      <x:c r="L7" s="19" t="str"/>
    </x:row>
    <x:row r="8" ht="44" customHeight="1">
      <x:c r="A8" s="17" t="str">
        <x:v>SEC-004</x:v>
      </x:c>
      <x:c r="B8" s="17" t="str">
        <x:v>V1.0</x:v>
      </x:c>
      <x:c r="C8" s="17" t="str">
        <x:v>CSRF</x:v>
      </x:c>
      <x:c r="D8" s="17" t="str">
        <x:v>缺少或错误 CSRF</x:v>
      </x:c>
      <x:c r="E8" s="17" t="str">
        <x:v>有效Cookie会话</x:v>
      </x:c>
      <x:c r="F8" s="17" t="str">
        <x:v>提交任一写请求</x:v>
      </x:c>
      <x:c r="G8" s="17" t="str">
        <x:v>403 CSRF_INVALID，无数据变化</x:v>
      </x:c>
      <x:c r="H8" s="17" t="str">
        <x:v>P0</x:v>
      </x:c>
      <x:c r="I8" s="17" t="str">
        <x:v>Web安全</x:v>
      </x:c>
      <x:c r="J8" s="17" t="str">
        <x:v>未执行</x:v>
      </x:c>
      <x:c r="K8" s="17" t="str"/>
      <x:c r="L8" s="17" t="str"/>
    </x:row>
    <x:row r="9" ht="44" customHeight="1">
      <x:c r="A9" s="18" t="str">
        <x:v>SEC-005</x:v>
      </x:c>
      <x:c r="B9" s="18" t="str">
        <x:v>V1.0</x:v>
      </x:c>
      <x:c r="C9" s="18" t="str">
        <x:v>Origin</x:v>
      </x:c>
      <x:c r="D9" s="18" t="str">
        <x:v>跨域来源写请求</x:v>
      </x:c>
      <x:c r="E9" s="18" t="str">
        <x:v>有效会话，Origin不在白名单</x:v>
      </x:c>
      <x:c r="F9" s="18" t="str">
        <x:v>提交任一写请求</x:v>
      </x:c>
      <x:c r="G9" s="18" t="str">
        <x:v>403 ORIGIN_NOT_ALLOWED</x:v>
      </x:c>
      <x:c r="H9" s="18" t="str">
        <x:v>P0</x:v>
      </x:c>
      <x:c r="I9" s="18" t="str">
        <x:v>Web安全</x:v>
      </x:c>
      <x:c r="J9" s="18" t="str">
        <x:v>未执行</x:v>
      </x:c>
      <x:c r="K9" s="18" t="str"/>
      <x:c r="L9" s="18" t="str"/>
    </x:row>
    <x:row r="10" ht="44" customHeight="1">
      <x:c r="A10" s="17" t="str">
        <x:v>SEC-006</x:v>
      </x:c>
      <x:c r="B10" s="17" t="str">
        <x:v>V1.0</x:v>
      </x:c>
      <x:c r="C10" s="17" t="str">
        <x:v>会话</x:v>
      </x:c>
      <x:c r="D10" s="17" t="str">
        <x:v>过期会话重放</x:v>
      </x:c>
      <x:c r="E10" s="17" t="str">
        <x:v>保存一条旧写请求</x:v>
      </x:c>
      <x:c r="F10" s="17" t="str">
        <x:v>会话过期后原样重放</x:v>
      </x:c>
      <x:c r="G10" s="17" t="str">
        <x:v>401 AUTH_REQUIRED；幂等和业务记录均不新增</x:v>
      </x:c>
      <x:c r="H10" s="17" t="str">
        <x:v>P0</x:v>
      </x:c>
      <x:c r="I10" s="17" t="str">
        <x:v>重放</x:v>
      </x:c>
      <x:c r="J10" s="17" t="str">
        <x:v>未执行</x:v>
      </x:c>
      <x:c r="K10" s="17" t="str"/>
      <x:c r="L10" s="17" t="str"/>
    </x:row>
    <x:row r="11" ht="44" customHeight="1">
      <x:c r="A11" s="19" t="str">
        <x:v>SEC-007</x:v>
      </x:c>
      <x:c r="B11" s="19" t="str">
        <x:v>V1.0</x:v>
      </x:c>
      <x:c r="C11" s="19" t="str">
        <x:v>权限失效</x:v>
      </x:c>
      <x:c r="D11" s="19" t="str">
        <x:v>停用管理员复用原会话</x:v>
      </x:c>
      <x:c r="E11" s="19" t="str">
        <x:v>管理员已登录后被停用</x:v>
      </x:c>
      <x:c r="F11" s="19" t="str">
        <x:v>继续提交管理命令</x:v>
      </x:c>
      <x:c r="G11" s="19" t="str">
        <x:v>403 USER_NOT_AUTHORIZED</x:v>
      </x:c>
      <x:c r="H11" s="19" t="str">
        <x:v>P0</x:v>
      </x:c>
      <x:c r="I11" s="19" t="str">
        <x:v>权限</x:v>
      </x:c>
      <x:c r="J11" s="19" t="str">
        <x:v>未执行</x:v>
      </x:c>
      <x:c r="K11" s="19" t="str"/>
      <x:c r="L11" s="19" t="str"/>
    </x:row>
    <x:row r="12" ht="44" customHeight="1">
      <x:c r="A12" s="17" t="str">
        <x:v>SEC-008</x:v>
      </x:c>
      <x:c r="B12" s="17" t="str">
        <x:v>V1.0/V1.1</x:v>
      </x:c>
      <x:c r="C12" s="17" t="str">
        <x:v>日志脱敏</x:v>
      </x:c>
      <x:c r="D12" s="17" t="str">
        <x:v>扫描应用日志</x:v>
      </x:c>
      <x:c r="E12" s="17" t="str">
        <x:v>执行免登、Token、卡片和魔点回调</x:v>
      </x:c>
      <x:c r="F12" s="17" t="str">
        <x:v>检索敏感值</x:v>
      </x:c>
      <x:c r="G12" s="17" t="str">
        <x:v>不含Secret、AccessToken、OrgAuthKey、免登码和完整签名</x:v>
      </x:c>
      <x:c r="H12" s="17" t="str">
        <x:v>P0</x:v>
      </x:c>
      <x:c r="I12" s="17" t="str">
        <x:v>敏感信息</x:v>
      </x:c>
      <x:c r="J12" s="17" t="str">
        <x:v>未执行</x:v>
      </x:c>
      <x:c r="K12" s="17" t="str"/>
      <x:c r="L12" s="17" t="str"/>
    </x:row>
    <x:row r="13" ht="44" customHeight="1">
      <x:c r="A13" s="18" t="str">
        <x:v>SEC-009</x:v>
      </x:c>
      <x:c r="B13" s="18" t="str">
        <x:v>V1.1</x:v>
      </x:c>
      <x:c r="C13" s="18" t="str">
        <x:v>回调入口</x:v>
      </x:c>
      <x:c r="D13" s="18" t="str">
        <x:v>超限或畸形 Body</x:v>
      </x:c>
      <x:c r="E13" s="18" t="str">
        <x:v>构造超限正文和非法JSON</x:v>
      </x:c>
      <x:c r="F13" s="18" t="str">
        <x:v>提交魔点回调</x:v>
      </x:c>
      <x:c r="G13" s="18" t="str">
        <x:v>分别返回413或400，不写 gate_event</x:v>
      </x:c>
      <x:c r="H13" s="18" t="str">
        <x:v>P0</x:v>
      </x:c>
      <x:c r="I13" s="18" t="str">
        <x:v>输入校验</x:v>
      </x:c>
      <x:c r="J13" s="18" t="str">
        <x:v>未执行</x:v>
      </x:c>
      <x:c r="K13" s="18" t="str"/>
      <x:c r="L13" s="18" t="str"/>
    </x:row>
    <x:row r="14" ht="44" customHeight="1">
      <x:c r="A14" s="17" t="str">
        <x:v>SEC-010</x:v>
      </x:c>
      <x:c r="B14" s="17" t="str">
        <x:v>V1.0</x:v>
      </x:c>
      <x:c r="C14" s="17" t="str">
        <x:v>图片上传</x:v>
      </x:c>
      <x:c r="D14" s="17" t="str">
        <x:v>非法或超限图片</x:v>
      </x:c>
      <x:c r="E14" s="17" t="str">
        <x:v>伪装扩展名、非图片、超限文件</x:v>
      </x:c>
      <x:c r="F14" s="17" t="str">
        <x:v>上传老师头像或团队Logo</x:v>
      </x:c>
      <x:c r="G14" s="17" t="str">
        <x:v>422 UPLOAD_FILE_INVALID 或 413 UPLOAD_FILE_TOO_LARGE</x:v>
      </x:c>
      <x:c r="H14" s="17" t="str">
        <x:v>P1</x:v>
      </x:c>
      <x:c r="I14" s="17" t="str">
        <x:v>上传</x:v>
      </x:c>
      <x:c r="J14" s="17" t="str">
        <x:v>未执行</x:v>
      </x:c>
      <x:c r="K14" s="17" t="str"/>
      <x:c r="L14" s="17" t="str"/>
    </x:row>
  </x:sheetData>
  <x:mergeCells>
    <x:mergeCell ref="A1:L1"/>
    <x:mergeCell ref="A2:L2"/>
  </x:mergeCells>
  <x:conditionalFormatting sqref="J5:J14">
    <x:cfRule type="containsText" dxfId="9" priority="1" operator="containsText" text="通过"/>
    <x:cfRule type="containsText" dxfId="10" priority="2" operator="containsText" text="失败"/>
    <x:cfRule type="containsText" dxfId="11" priority="3" operator="containsText" text="阻塞"/>
  </x:conditionalFormatting>
  <x:dataValidations count="1">
    <x:dataValidation type="list" sqref="J5:J14">
      <x:formula1>"未执行,通过,失败,阻塞,不适用"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9" hidden="0" customWidth="1"/>
    <x:col min="3" max="3" width="14" hidden="0" customWidth="1"/>
    <x:col min="4" max="4" width="30" hidden="0" customWidth="1"/>
    <x:col min="5" max="5" width="52" hidden="0" customWidth="1"/>
    <x:col min="6" max="6" width="10" hidden="0" customWidth="1"/>
    <x:col min="7" max="7" width="12" hidden="0" customWidth="1"/>
    <x:col min="8" max="8" width="14" hidden="0" customWidth="1"/>
    <x:col min="9" max="9" width="22" hidden="0" customWidth="1"/>
  </x:cols>
  <x:sheetData>
    <x:row r="1" ht="30" customHeight="1">
      <x:c r="A1" s="3" t="str">
        <x:v>加贝云 V1.0｜兼容与上线检查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上线前由负责人逐项验证；V1.1 项只在启用魔点门禁时执行。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13" t="str">
        <x:v>ID</x:v>
      </x:c>
      <x:c r="B4" s="13" t="str">
        <x:v>版本</x:v>
      </x:c>
      <x:c r="C4" s="13" t="str">
        <x:v>类别</x:v>
      </x:c>
      <x:c r="D4" s="13" t="str">
        <x:v>检查项</x:v>
      </x:c>
      <x:c r="E4" s="13" t="str">
        <x:v>验收标准</x:v>
      </x:c>
      <x:c r="F4" s="13" t="str">
        <x:v>优先级</x:v>
      </x:c>
      <x:c r="G4" s="13" t="str">
        <x:v>状态</x:v>
      </x:c>
      <x:c r="H4" s="13" t="str">
        <x:v>负责人</x:v>
      </x:c>
      <x:c r="I4" s="13" t="str">
        <x:v>备注</x:v>
      </x:c>
    </x:row>
    <x:row r="5" ht="44" customHeight="1">
      <x:c r="A5" s="18" t="str">
        <x:v>CP-001</x:v>
      </x:c>
      <x:c r="B5" s="18" t="str">
        <x:v>V1.0</x:v>
      </x:c>
      <x:c r="C5" s="18" t="str">
        <x:v>移动端</x:v>
      </x:c>
      <x:c r="D5" s="18" t="str">
        <x:v>360×800 主播首页</x:v>
      </x:c>
      <x:c r="E5" s="18" t="str">
        <x:v>无横向滚动；底部弹层和固定提交按钮可用</x:v>
      </x:c>
      <x:c r="F5" s="18" t="str">
        <x:v>P0</x:v>
      </x:c>
      <x:c r="G5" s="18" t="str">
        <x:v>未执行</x:v>
      </x:c>
      <x:c r="H5" s="18" t="str"/>
      <x:c r="I5" s="18" t="str"/>
    </x:row>
    <x:row r="6" ht="44" customHeight="1">
      <x:c r="A6" s="17" t="str">
        <x:v>CP-002</x:v>
      </x:c>
      <x:c r="B6" s="17" t="str">
        <x:v>V1.0</x:v>
      </x:c>
      <x:c r="C6" s="17" t="str">
        <x:v>移动端</x:v>
      </x:c>
      <x:c r="D6" s="17" t="str">
        <x:v>钉钉 Android</x:v>
      </x:c>
      <x:c r="E6" s="17" t="str">
        <x:v>免登、预约、取消、卡片跳转闭环通过</x:v>
      </x:c>
      <x:c r="F6" s="17" t="str">
        <x:v>P0</x:v>
      </x:c>
      <x:c r="G6" s="17" t="str">
        <x:v>未执行</x:v>
      </x:c>
      <x:c r="H6" s="17" t="str"/>
      <x:c r="I6" s="17" t="str"/>
    </x:row>
    <x:row r="7" ht="44" customHeight="1">
      <x:c r="A7" s="19" t="str">
        <x:v>CP-003</x:v>
      </x:c>
      <x:c r="B7" s="19" t="str">
        <x:v>V1.0</x:v>
      </x:c>
      <x:c r="C7" s="19" t="str">
        <x:v>移动端</x:v>
      </x:c>
      <x:c r="D7" s="19" t="str">
        <x:v>钉钉 iOS</x:v>
      </x:c>
      <x:c r="E7" s="19" t="str">
        <x:v>免登、预约、取消、卡片跳转闭环通过</x:v>
      </x:c>
      <x:c r="F7" s="19" t="str">
        <x:v>P0</x:v>
      </x:c>
      <x:c r="G7" s="19" t="str">
        <x:v>未执行</x:v>
      </x:c>
      <x:c r="H7" s="19" t="str"/>
      <x:c r="I7" s="19" t="str"/>
    </x:row>
    <x:row r="8" ht="44" customHeight="1">
      <x:c r="A8" s="17" t="str">
        <x:v>CP-004</x:v>
      </x:c>
      <x:c r="B8" s="17" t="str">
        <x:v>V1.0</x:v>
      </x:c>
      <x:c r="C8" s="17" t="str">
        <x:v>PC</x:v>
      </x:c>
      <x:c r="D8" s="17" t="str">
        <x:v>钉钉 PC 管理端</x:v>
      </x:c>
      <x:c r="E8" s="17" t="str">
        <x:v>列表、详情弹层、代预约和设置可用</x:v>
      </x:c>
      <x:c r="F8" s="17" t="str">
        <x:v>P1</x:v>
      </x:c>
      <x:c r="G8" s="17" t="str">
        <x:v>未执行</x:v>
      </x:c>
      <x:c r="H8" s="17" t="str"/>
      <x:c r="I8" s="17" t="str"/>
    </x:row>
    <x:row r="9" ht="44" customHeight="1">
      <x:c r="A9" s="18" t="str">
        <x:v>CP-005</x:v>
      </x:c>
      <x:c r="B9" s="18" t="str">
        <x:v>V1.0</x:v>
      </x:c>
      <x:c r="C9" s="18" t="str">
        <x:v>安全配置</x:v>
      </x:c>
      <x:c r="D9" s="18" t="str">
        <x:v>钉钉安全域名与首页地址</x:v>
      </x:c>
      <x:c r="E9" s="18" t="str">
        <x:v>正式域名、PC 首页和回调配置正确</x:v>
      </x:c>
      <x:c r="F9" s="18" t="str">
        <x:v>P0</x:v>
      </x:c>
      <x:c r="G9" s="18" t="str">
        <x:v>未执行</x:v>
      </x:c>
      <x:c r="H9" s="18" t="str"/>
      <x:c r="I9" s="18" t="str"/>
    </x:row>
    <x:row r="10" ht="44" customHeight="1">
      <x:c r="A10" s="17" t="str">
        <x:v>CP-006</x:v>
      </x:c>
      <x:c r="B10" s="17" t="str">
        <x:v>V1.0</x:v>
      </x:c>
      <x:c r="C10" s="17" t="str">
        <x:v>Secret</x:v>
      </x:c>
      <x:c r="D10" s="17" t="str">
        <x:v>生产密钥管理</x:v>
      </x:c>
      <x:c r="E10" s="17" t="str">
        <x:v>AppSecret、Token、orgAuthKey 不在前端、Git、业务日志和文档</x:v>
      </x:c>
      <x:c r="F10" s="17" t="str">
        <x:v>P0</x:v>
      </x:c>
      <x:c r="G10" s="17" t="str">
        <x:v>未执行</x:v>
      </x:c>
      <x:c r="H10" s="17" t="str"/>
      <x:c r="I10" s="17" t="str"/>
    </x:row>
    <x:row r="11" ht="44" customHeight="1">
      <x:c r="A11" s="19" t="str">
        <x:v>CP-007</x:v>
      </x:c>
      <x:c r="B11" s="19" t="str">
        <x:v>V1.0</x:v>
      </x:c>
      <x:c r="C11" s="19" t="str">
        <x:v>发布</x:v>
      </x:c>
      <x:c r="D11" s="19" t="str">
        <x:v>数据库迁移</x:v>
      </x:c>
      <x:c r="E11" s="19" t="str">
        <x:v>Flyway 在生产快照演练通过且支持回滚方案</x:v>
      </x:c>
      <x:c r="F11" s="19" t="str">
        <x:v>P0</x:v>
      </x:c>
      <x:c r="G11" s="19" t="str">
        <x:v>未执行</x:v>
      </x:c>
      <x:c r="H11" s="19" t="str"/>
      <x:c r="I11" s="19" t="str"/>
    </x:row>
    <x:row r="12" ht="44" customHeight="1">
      <x:c r="A12" s="17" t="str">
        <x:v>CP-008</x:v>
      </x:c>
      <x:c r="B12" s="17" t="str">
        <x:v>V1.0</x:v>
      </x:c>
      <x:c r="C12" s="17" t="str">
        <x:v>恢复</x:v>
      </x:c>
      <x:c r="D12" s="17" t="str">
        <x:v>备份恢复演练</x:v>
      </x:c>
      <x:c r="E12" s="17" t="str">
        <x:v>可从备份恢复并验证预约、审计、任务一致性</x:v>
      </x:c>
      <x:c r="F12" s="17" t="str">
        <x:v>P0</x:v>
      </x:c>
      <x:c r="G12" s="17" t="str">
        <x:v>未执行</x:v>
      </x:c>
      <x:c r="H12" s="17" t="str"/>
      <x:c r="I12" s="17" t="str"/>
    </x:row>
    <x:row r="13" ht="44" customHeight="1">
      <x:c r="A13" s="18" t="str">
        <x:v>CP-009</x:v>
      </x:c>
      <x:c r="B13" s="18" t="str">
        <x:v>V1.0</x:v>
      </x:c>
      <x:c r="C13" s="18" t="str">
        <x:v>调度</x:v>
      </x:c>
      <x:c r="D13" s="18" t="str">
        <x:v>09:00 卡片任务</x:v>
      </x:c>
      <x:c r="E13" s="18" t="str">
        <x:v>Asia/Shanghai 时间准确，重复触发不重复发卡</x:v>
      </x:c>
      <x:c r="F13" s="18" t="str">
        <x:v>P0</x:v>
      </x:c>
      <x:c r="G13" s="18" t="str">
        <x:v>未执行</x:v>
      </x:c>
      <x:c r="H13" s="18" t="str"/>
      <x:c r="I13" s="18" t="str"/>
    </x:row>
    <x:row r="14" ht="44" customHeight="1">
      <x:c r="A14" s="17" t="str">
        <x:v>CP-010</x:v>
      </x:c>
      <x:c r="B14" s="17" t="str">
        <x:v>V1.0</x:v>
      </x:c>
      <x:c r="C14" s="17" t="str">
        <x:v>监控</x:v>
      </x:c>
      <x:c r="D14" s="17" t="str">
        <x:v>失败任务与关键接口</x:v>
      </x:c>
      <x:c r="E14" s="17" t="str">
        <x:v>Token、卡片、数据库、幂等冲突和 DEAD 任务可告警</x:v>
      </x:c>
      <x:c r="F14" s="17" t="str">
        <x:v>P1</x:v>
      </x:c>
      <x:c r="G14" s="17" t="str">
        <x:v>未执行</x:v>
      </x:c>
      <x:c r="H14" s="17" t="str"/>
      <x:c r="I14" s="17" t="str"/>
    </x:row>
    <x:row r="15" ht="44" customHeight="1">
      <x:c r="A15" s="19" t="str">
        <x:v>CP-011</x:v>
      </x:c>
      <x:c r="B15" s="19" t="str">
        <x:v>V1.0</x:v>
      </x:c>
      <x:c r="C15" s="19" t="str">
        <x:v>生产安全</x:v>
      </x:c>
      <x:c r="D15" s="19" t="str">
        <x:v>生产禁用 Mock 登录</x:v>
      </x:c>
      <x:c r="E15" s="19" t="str">
        <x:v>请求 /auth/mock-login 返回404且前端无Mock身份入口</x:v>
      </x:c>
      <x:c r="F15" s="19" t="str">
        <x:v>P0</x:v>
      </x:c>
      <x:c r="G15" s="19" t="str">
        <x:v>未执行</x:v>
      </x:c>
      <x:c r="H15" s="19" t="str"/>
      <x:c r="I15" s="19" t="str"/>
    </x:row>
    <x:row r="16" ht="44" customHeight="1">
      <x:c r="A16" s="17" t="str">
        <x:v>CP-012</x:v>
      </x:c>
      <x:c r="B16" s="17" t="str">
        <x:v>V1.0</x:v>
      </x:c>
      <x:c r="C16" s="17" t="str">
        <x:v>真实免登</x:v>
      </x:c>
      <x:c r="D16" s="17" t="str">
        <x:v>官方JSAPI真机核验</x:v>
      </x:c>
      <x:c r="E16" s="17" t="str">
        <x:v>钉钉移动端与PC端使用 dd.requestAuthCode 均成功回传免登码</x:v>
      </x:c>
      <x:c r="F16" s="17" t="str">
        <x:v>P0</x:v>
      </x:c>
      <x:c r="G16" s="17" t="str">
        <x:v>未执行</x:v>
      </x:c>
      <x:c r="H16" s="17" t="str"/>
      <x:c r="I16" s="17" t="str"/>
    </x:row>
    <x:row r="17" ht="44" customHeight="1">
      <x:c r="A17" s="18" t="str">
        <x:v>CP-101</x:v>
      </x:c>
      <x:c r="B17" s="18" t="str">
        <x:v>V1.1</x:v>
      </x:c>
      <x:c r="C17" s="18" t="str">
        <x:v>网络</x:v>
      </x:c>
      <x:c r="D17" s="18" t="str">
        <x:v>魔点生产回调</x:v>
      </x:c>
      <x:c r="E17" s="18" t="str">
        <x:v>公网 HTTPS 443 可访问，证书链正常</x:v>
      </x:c>
      <x:c r="F17" s="18" t="str">
        <x:v>P0</x:v>
      </x:c>
      <x:c r="G17" s="18" t="str">
        <x:v>未执行</x:v>
      </x:c>
      <x:c r="H17" s="18" t="str"/>
      <x:c r="I17" s="18" t="str"/>
    </x:row>
    <x:row r="18" ht="44" customHeight="1">
      <x:c r="A18" s="17" t="str">
        <x:v>CP-102</x:v>
      </x:c>
      <x:c r="B18" s="17" t="str">
        <x:v>V1.1</x:v>
      </x:c>
      <x:c r="C18" s="17" t="str">
        <x:v>配置</x:v>
      </x:c>
      <x:c r="D18" s="17" t="str">
        <x:v>机构与唯一门禁设备</x:v>
      </x:c>
      <x:c r="E18" s="17" t="str">
        <x:v>orgId、orgAuthKey、deviceSn 与生产环境一致</x:v>
      </x:c>
      <x:c r="F18" s="17" t="str">
        <x:v>P0</x:v>
      </x:c>
      <x:c r="G18" s="17" t="str">
        <x:v>未执行</x:v>
      </x:c>
      <x:c r="H18" s="17" t="str"/>
      <x:c r="I18" s="17" t="str"/>
    </x:row>
    <x:row r="19" ht="44" customHeight="1">
      <x:c r="A19" s="19" t="str">
        <x:v>CP-103</x:v>
      </x:c>
      <x:c r="B19" s="19" t="str">
        <x:v>V1.1</x:v>
      </x:c>
      <x:c r="C19" s="19" t="str">
        <x:v>联调</x:v>
      </x:c>
      <x:c r="D19" s="19" t="str">
        <x:v>真实门禁回调</x:v>
      </x:c>
      <x:c r="E19" s="19" t="str">
        <x:v>测试人员识别后能匹配预约并更新状态</x:v>
      </x:c>
      <x:c r="F19" s="19" t="str">
        <x:v>P0</x:v>
      </x:c>
      <x:c r="G19" s="19" t="str">
        <x:v>未执行</x:v>
      </x:c>
      <x:c r="H19" s="19" t="str"/>
      <x:c r="I19" s="19" t="str"/>
    </x:row>
    <x:row r="20" ht="44" customHeight="1">
      <x:c r="A20" s="17" t="str">
        <x:v>CP-104</x:v>
      </x:c>
      <x:c r="B20" s="17" t="str">
        <x:v>V1.1</x:v>
      </x:c>
      <x:c r="C20" s="17" t="str">
        <x:v>文案</x:v>
      </x:c>
      <x:c r="D20" s="17" t="str">
        <x:v>无门禁事件</x:v>
      </x:c>
      <x:c r="E20" s="17" t="str">
        <x:v>只展示“未检测到门禁记录”，不下绝对未到结论</x:v>
      </x:c>
      <x:c r="F20" s="17" t="str">
        <x:v>P1</x:v>
      </x:c>
      <x:c r="G20" s="17" t="str">
        <x:v>未执行</x:v>
      </x:c>
      <x:c r="H20" s="17" t="str"/>
      <x:c r="I20" s="17" t="str"/>
    </x:row>
  </x:sheetData>
  <x:mergeCells>
    <x:mergeCell ref="A1:I1"/>
    <x:mergeCell ref="A2:I2"/>
  </x:mergeCells>
  <x:conditionalFormatting sqref="G5:G20">
    <x:cfRule type="containsText" dxfId="12" priority="1" operator="containsText" text="通过"/>
    <x:cfRule type="containsText" dxfId="13" priority="2" operator="containsText" text="失败"/>
    <x:cfRule type="containsText" dxfId="14" priority="3" operator="containsText" text="阻塞"/>
  </x:conditionalFormatting>
  <x:dataValidations count="1">
    <x:dataValidation type="list" sqref="G5:G20">
      <x:formula1>"未执行,通过,失败,阻塞,不适用"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3" hidden="0" customWidth="1"/>
    <x:col min="3" max="3" width="24" hidden="0" customWidth="1"/>
    <x:col min="4" max="4" width="32" hidden="0" customWidth="1"/>
    <x:col min="5" max="5" width="42" hidden="0" customWidth="1"/>
    <x:col min="6" max="6" width="10" hidden="0" customWidth="1"/>
  </x:cols>
  <x:sheetData>
    <x:row r="1" ht="30" customHeight="1">
      <x:c r="A1" s="3" t="str">
        <x:v>加贝云 V1.0｜测试数据与固定配置</x:v>
      </x:c>
      <x:c r="B1" s="3"/>
      <x:c r="C1" s="3"/>
      <x:c r="D1" s="3"/>
      <x:c r="E1" s="3"/>
      <x:c r="F1" s="3"/>
    </x:row>
    <x:row r="2" ht="34" customHeight="1">
      <x:c r="A2" s="7" t="str">
        <x:v>测试环境使用固定夹具和可注入服务器时间；生产构建必须关闭 Mock 身份与时间能力。</x:v>
      </x:c>
      <x:c r="B2" s="7"/>
      <x:c r="C2" s="7"/>
      <x:c r="D2" s="7"/>
      <x:c r="E2" s="7"/>
      <x:c r="F2" s="7"/>
    </x:row>
    <x:row r="4" ht="30" customHeight="1">
      <x:c r="A4" s="13" t="str">
        <x:v>ID</x:v>
      </x:c>
      <x:c r="B4" s="13" t="str">
        <x:v>类型</x:v>
      </x:c>
      <x:c r="C4" s="13" t="str">
        <x:v>键/标识</x:v>
      </x:c>
      <x:c r="D4" s="13" t="str">
        <x:v>值/状态</x:v>
      </x:c>
      <x:c r="E4" s="13" t="str">
        <x:v>用途</x:v>
      </x:c>
      <x:c r="F4" s="13" t="str">
        <x:v>版本</x:v>
      </x:c>
    </x:row>
    <x:row r="5" ht="44" customHeight="1">
      <x:c r="A5" s="18" t="str">
        <x:v>TD-001</x:v>
      </x:c>
      <x:c r="B5" s="18" t="str">
        <x:v>用户</x:v>
      </x:c>
      <x:c r="C5" s="18" t="str">
        <x:v>admin01/admin02</x:v>
      </x:c>
      <x:c r="D5" s="18" t="str">
        <x:v>两名启用同级管理员</x:v>
      </x:c>
      <x:c r="E5" s="18" t="str">
        <x:v>验证名单维护与最后管理员约束</x:v>
      </x:c>
      <x:c r="F5" s="18" t="str">
        <x:v>V1.0</x:v>
      </x:c>
    </x:row>
    <x:row r="6" ht="44" customHeight="1">
      <x:c r="A6" s="17" t="str">
        <x:v>TD-002</x:v>
      </x:c>
      <x:c r="B6" s="17" t="str">
        <x:v>用户</x:v>
      </x:c>
      <x:c r="C6" s="17" t="str">
        <x:v>admin_disabled</x:v>
      </x:c>
      <x:c r="D6" s="17" t="str">
        <x:v>一名停用管理员</x:v>
      </x:c>
      <x:c r="E6" s="17" t="str">
        <x:v>验证立即失权</x:v>
      </x:c>
      <x:c r="F6" s="17" t="str">
        <x:v>V1.0</x:v>
      </x:c>
    </x:row>
    <x:row r="7" ht="44" customHeight="1">
      <x:c r="A7" s="19" t="str">
        <x:v>TD-003</x:v>
      </x:c>
      <x:c r="B7" s="19" t="str">
        <x:v>用户</x:v>
      </x:c>
      <x:c r="C7" s="19" t="str">
        <x:v>streamer01~04</x:v>
      </x:c>
      <x:c r="D7" s="19" t="str">
        <x:v>四名有效主播</x:v>
      </x:c>
      <x:c r="E7" s="19" t="str">
        <x:v>预约、取消、并发、privateData</x:v>
      </x:c>
      <x:c r="F7" s="19" t="str">
        <x:v>V1.0</x:v>
      </x:c>
    </x:row>
    <x:row r="8" ht="44" customHeight="1">
      <x:c r="A8" s="17" t="str">
        <x:v>TD-004</x:v>
      </x:c>
      <x:c r="B8" s="17" t="str">
        <x:v>用户</x:v>
      </x:c>
      <x:c r="C8" s="17" t="str">
        <x:v>employee01</x:v>
      </x:c>
      <x:c r="D8" s="17" t="str">
        <x:v>无业务角色员工</x:v>
      </x:c>
      <x:c r="E8" s="17" t="str">
        <x:v>无权限页</x:v>
      </x:c>
      <x:c r="F8" s="17" t="str">
        <x:v>V1.0</x:v>
      </x:c>
    </x:row>
    <x:row r="9" ht="44" customHeight="1">
      <x:c r="A9" s="18" t="str">
        <x:v>TD-005</x:v>
      </x:c>
      <x:c r="B9" s="18" t="str">
        <x:v>老师</x:v>
      </x:c>
      <x:c r="C9" s="18" t="str">
        <x:v>teacher_active</x:v>
      </x:c>
      <x:c r="D9" s="18" t="str">
        <x:v>12:00~20:00，启用且未休息</x:v>
      </x:c>
      <x:c r="E9" s="18" t="str">
        <x:v>正常预约与边界</x:v>
      </x:c>
      <x:c r="F9" s="18" t="str">
        <x:v>V1.0</x:v>
      </x:c>
    </x:row>
    <x:row r="10" ht="44" customHeight="1">
      <x:c r="A10" s="17" t="str">
        <x:v>TD-006</x:v>
      </x:c>
      <x:c r="B10" s="17" t="str">
        <x:v>老师</x:v>
      </x:c>
      <x:c r="C10" s="17" t="str">
        <x:v>teacher_rest</x:v>
      </x:c>
      <x:c r="D10" s="17" t="str">
        <x:v>启用但休息</x:v>
      </x:c>
      <x:c r="E10" s="17" t="str">
        <x:v>禁止新预约</x:v>
      </x:c>
      <x:c r="F10" s="17" t="str">
        <x:v>V1.0</x:v>
      </x:c>
    </x:row>
    <x:row r="11" ht="44" customHeight="1">
      <x:c r="A11" s="19" t="str">
        <x:v>TD-007</x:v>
      </x:c>
      <x:c r="B11" s="19" t="str">
        <x:v>老师</x:v>
      </x:c>
      <x:c r="C11" s="19" t="str">
        <x:v>teacher_disabled</x:v>
      </x:c>
      <x:c r="D11" s="19" t="str">
        <x:v>已停用</x:v>
      </x:c>
      <x:c r="E11" s="19" t="str">
        <x:v>禁止新预约、历史保留</x:v>
      </x:c>
      <x:c r="F11" s="19" t="str">
        <x:v>V1.0</x:v>
      </x:c>
    </x:row>
    <x:row r="12" ht="44" customHeight="1">
      <x:c r="A12" s="17" t="str">
        <x:v>TD-008</x:v>
      </x:c>
      <x:c r="B12" s="17" t="str">
        <x:v>团队</x:v>
      </x:c>
      <x:c r="C12" s="17" t="str">
        <x:v>team_a/team_b/team_c</x:v>
      </x:c>
      <x:c r="D12" s="17" t="str">
        <x:v>三个启用团队</x:v>
      </x:c>
      <x:c r="E12" s="17" t="str">
        <x:v>默认值与新建</x:v>
      </x:c>
      <x:c r="F12" s="17" t="str">
        <x:v>V1.0</x:v>
      </x:c>
    </x:row>
    <x:row r="13" ht="44" customHeight="1">
      <x:c r="A13" s="18" t="str">
        <x:v>TD-009</x:v>
      </x:c>
      <x:c r="B13" s="18" t="str">
        <x:v>团队</x:v>
      </x:c>
      <x:c r="C13" s="18" t="str">
        <x:v>team_disabled</x:v>
      </x:c>
      <x:c r="D13" s="18" t="str">
        <x:v>一个停用团队</x:v>
      </x:c>
      <x:c r="E13" s="18" t="str">
        <x:v>禁止新选、历史保留</x:v>
      </x:c>
      <x:c r="F13" s="18" t="str">
        <x:v>V1.0</x:v>
      </x:c>
    </x:row>
    <x:row r="14" ht="44" customHeight="1">
      <x:c r="A14" s="17" t="str">
        <x:v>TD-010</x:v>
      </x:c>
      <x:c r="B14" s="17" t="str">
        <x:v>配置</x:v>
      </x:c>
      <x:c r="C14" s="17" t="str">
        <x:v>slot_minutes</x:v>
      </x:c>
      <x:c r="D14" s="17" t="str">
        <x:v>10</x:v>
      </x:c>
      <x:c r="E14" s="17" t="str">
        <x:v>时间刻度</x:v>
      </x:c>
      <x:c r="F14" s="17" t="str">
        <x:v>V1.0</x:v>
      </x:c>
    </x:row>
    <x:row r="15" ht="44" customHeight="1">
      <x:c r="A15" s="19" t="str">
        <x:v>TD-011</x:v>
      </x:c>
      <x:c r="B15" s="19" t="str">
        <x:v>配置</x:v>
      </x:c>
      <x:c r="C15" s="19" t="str">
        <x:v>service_minutes</x:v>
      </x:c>
      <x:c r="D15" s="19" t="str">
        <x:v>20</x:v>
      </x:c>
      <x:c r="E15" s="19" t="str">
        <x:v>服务时长</x:v>
      </x:c>
      <x:c r="F15" s="19" t="str">
        <x:v>V1.0</x:v>
      </x:c>
    </x:row>
    <x:row r="16" ht="44" customHeight="1">
      <x:c r="A16" s="17" t="str">
        <x:v>TD-012</x:v>
      </x:c>
      <x:c r="B16" s="17" t="str">
        <x:v>配置</x:v>
      </x:c>
      <x:c r="C16" s="17" t="str">
        <x:v>min_advance_minutes</x:v>
      </x:c>
      <x:c r="D16" s="17" t="str">
        <x:v>30</x:v>
      </x:c>
      <x:c r="E16" s="17" t="str">
        <x:v>主播最小提前量</x:v>
      </x:c>
      <x:c r="F16" s="17" t="str">
        <x:v>V1.0</x:v>
      </x:c>
    </x:row>
    <x:row r="17" ht="44" customHeight="1">
      <x:c r="A17" s="18" t="str">
        <x:v>TD-013</x:v>
      </x:c>
      <x:c r="B17" s="18" t="str">
        <x:v>配置</x:v>
      </x:c>
      <x:c r="C17" s="18" t="str">
        <x:v>streamer_cancel_cutoff</x:v>
      </x:c>
      <x:c r="D17" s="18" t="str">
        <x:v>30</x:v>
      </x:c>
      <x:c r="E17" s="18" t="str">
        <x:v>主播取消截止</x:v>
      </x:c>
      <x:c r="F17" s="18" t="str">
        <x:v>V1.0</x:v>
      </x:c>
    </x:row>
    <x:row r="18" ht="44" customHeight="1">
      <x:c r="A18" s="17" t="str">
        <x:v>TD-014</x:v>
      </x:c>
      <x:c r="B18" s="17" t="str">
        <x:v>配置</x:v>
      </x:c>
      <x:c r="C18" s="17" t="str">
        <x:v>admin_cutoff</x:v>
      </x:c>
      <x:c r="D18" s="17" t="str">
        <x:v>5</x:v>
      </x:c>
      <x:c r="E18" s="17" t="str">
        <x:v>管理员修改/取消截止</x:v>
      </x:c>
      <x:c r="F18" s="17" t="str">
        <x:v>V1.0</x:v>
      </x:c>
    </x:row>
    <x:row r="19" ht="44" customHeight="1">
      <x:c r="A19" s="19" t="str">
        <x:v>TD-015</x:v>
      </x:c>
      <x:c r="B19" s="19" t="str">
        <x:v>配置</x:v>
      </x:c>
      <x:c r="C19" s="19" t="str">
        <x:v>late_grace_minutes</x:v>
      </x:c>
      <x:c r="D19" s="19" t="str">
        <x:v>10</x:v>
      </x:c>
      <x:c r="E19" s="19" t="str">
        <x:v>迟到宽限</x:v>
      </x:c>
      <x:c r="F19" s="19" t="str">
        <x:v>V1.1</x:v>
      </x:c>
    </x:row>
    <x:row r="20" ht="44" customHeight="1">
      <x:c r="A20" s="17" t="str">
        <x:v>TD-016</x:v>
      </x:c>
      <x:c r="B20" s="17" t="str">
        <x:v>配置</x:v>
      </x:c>
      <x:c r="C20" s="17" t="str">
        <x:v>gate_window_hours</x:v>
      </x:c>
      <x:c r="D20" s="17" t="str">
        <x:v>6</x:v>
      </x:c>
      <x:c r="E20" s="17" t="str">
        <x:v>门禁匹配向前回溯窗口</x:v>
      </x:c>
      <x:c r="F20" s="17" t="str">
        <x:v>V1.1</x:v>
      </x:c>
    </x:row>
    <x:row r="21" ht="44" customHeight="1">
      <x:c r="A21" s="18" t="str">
        <x:v>TD-017</x:v>
      </x:c>
      <x:c r="B21" s="18" t="str">
        <x:v>魔点</x:v>
      </x:c>
      <x:c r="C21" s="18" t="str">
        <x:v>memberId</x:v>
      </x:c>
      <x:c r="D21" s="18" t="str">
        <x:v>等于钉钉 userId</x:v>
      </x:c>
      <x:c r="E21" s="18" t="str">
        <x:v>无需额外人员映射接口</x:v>
      </x:c>
      <x:c r="F21" s="18" t="str">
        <x:v>V1.1</x:v>
      </x:c>
    </x:row>
    <x:row r="22" ht="44" customHeight="1">
      <x:c r="A22" s="17" t="str">
        <x:v>TD-018</x:v>
      </x:c>
      <x:c r="B22" s="17" t="str">
        <x:v>魔点</x:v>
      </x:c>
      <x:c r="C22" s="17" t="str">
        <x:v>deviceSn</x:v>
      </x:c>
      <x:c r="D22" s="17" t="str">
        <x:v>公司唯一门禁设备 SN</x:v>
      </x:c>
      <x:c r="E22" s="17" t="str">
        <x:v>过滤非目标设备</x:v>
      </x:c>
      <x:c r="F22" s="17" t="str">
        <x:v>V1.1</x:v>
      </x:c>
    </x:row>
    <x:row r="23" ht="44" customHeight="1">
      <x:c r="A23" s="19" t="str">
        <x:v>TD-019</x:v>
      </x:c>
      <x:c r="B23" s="19" t="str">
        <x:v>魔点</x:v>
      </x:c>
      <x:c r="C23" s="19" t="str">
        <x:v>multi_candidate</x:v>
      </x:c>
      <x:c r="D23" s="19" t="str">
        <x:v>同一主播两条有效窗口重叠预约</x:v>
      </x:c>
      <x:c r="E23" s="19" t="str">
        <x:v>验证 STARTED/NEXT_UPCOMING 固定排序</x:v>
      </x:c>
      <x:c r="F23" s="19" t="str">
        <x:v>V1.1</x:v>
      </x:c>
    </x:row>
    <x:row r="24" ht="44" customHeight="1">
      <x:c r="A24" s="17" t="str">
        <x:v>TD-020</x:v>
      </x:c>
      <x:c r="B24" s="17" t="str">
        <x:v>魔点</x:v>
      </x:c>
      <x:c r="C24" s="17" t="str">
        <x:v>callback_file_key</x:v>
      </x:c>
      <x:c r="D24" s="17" t="str">
        <x:v>分别包含与省略 fileKey 的回调</x:v>
      </x:c>
      <x:c r="E24" s="17" t="str">
        <x:v>验证可选字段兼容</x:v>
      </x:c>
      <x:c r="F24" s="17" t="str">
        <x:v>V1.1</x:v>
      </x:c>
    </x:row>
    <x:row r="25" ht="44" customHeight="1">
      <x:c r="A25" s="18" t="str">
        <x:v>TD-021</x:v>
      </x:c>
      <x:c r="B25" s="18" t="str">
        <x:v>上传</x:v>
      </x:c>
      <x:c r="C25" s="18" t="str">
        <x:v>image_fixtures</x:v>
      </x:c>
      <x:c r="D25" s="18" t="str">
        <x:v>合法图片、伪装扩展名、非图片、超限文件</x:v>
      </x:c>
      <x:c r="E25" s="18" t="str">
        <x:v>验证头像和Logo上传安全</x:v>
      </x:c>
      <x:c r="F25" s="18" t="str">
        <x:v>V1.0</x:v>
      </x:c>
    </x:row>
  </x:sheetData>
  <x:mergeCells>
    <x:mergeCell ref="A1:F1"/>
    <x:mergeCell ref="A2:F2"/>
  </x:mergeCells>
  <x:pageMargins left="0.7" right="0.7" top="0.75" bottom="0.75" header="0.3" footer="0.3"/>
</x:worksheet>
</file>